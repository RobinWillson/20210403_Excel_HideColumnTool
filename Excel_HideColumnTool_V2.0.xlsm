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001" sheetId="1" r:id="rId1"/>
    <sheet name="002" sheetId="3" r:id="rId2"/>
    <sheet name="工作表2" sheetId="5" r:id="rId3"/>
  </sheets>
  <functionGroups builtInGroupCount="18"/>
  <definedNames>
    <definedName name="TitleWord">'001'!$G$8:$G$140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3" l="1"/>
  <c r="F30" i="3"/>
  <c r="F31" i="3"/>
  <c r="F32" i="3"/>
  <c r="F33" i="3"/>
  <c r="F34" i="3"/>
  <c r="AQ11" i="3"/>
  <c r="AG28" i="3"/>
  <c r="AQ25" i="3"/>
  <c r="W14" i="3"/>
  <c r="W18" i="3"/>
  <c r="AQ20" i="3"/>
  <c r="W25" i="3"/>
  <c r="BA7" i="3"/>
  <c r="AQ32" i="3"/>
  <c r="M29" i="3"/>
  <c r="AG10" i="3"/>
  <c r="M21" i="3"/>
  <c r="W21" i="3"/>
  <c r="AQ27" i="3"/>
  <c r="M8" i="3"/>
  <c r="BA17" i="3"/>
  <c r="AG29" i="3"/>
  <c r="BA28" i="3"/>
  <c r="W34" i="3"/>
  <c r="BA27" i="3"/>
  <c r="AQ19" i="3"/>
  <c r="W30" i="3"/>
  <c r="W32" i="3"/>
  <c r="AQ7" i="3"/>
  <c r="W19" i="3"/>
  <c r="BA22" i="3"/>
  <c r="AG18" i="3"/>
  <c r="M28" i="3"/>
  <c r="M14" i="3"/>
  <c r="AG7" i="3"/>
  <c r="BA12" i="3"/>
  <c r="AQ5" i="3"/>
  <c r="W7" i="3"/>
  <c r="AQ28" i="3"/>
  <c r="M32" i="3"/>
  <c r="AG33" i="3"/>
  <c r="M33" i="3"/>
  <c r="M12" i="3"/>
  <c r="AG30" i="3"/>
  <c r="AG22" i="3"/>
  <c r="AQ10" i="3"/>
  <c r="AQ23" i="3"/>
  <c r="AG20" i="3"/>
  <c r="BA30" i="3"/>
  <c r="M13" i="3"/>
  <c r="AG19" i="3"/>
  <c r="AQ26" i="3"/>
  <c r="BA14" i="3"/>
  <c r="M18" i="3"/>
  <c r="AG16" i="3"/>
  <c r="M24" i="3"/>
  <c r="AG32" i="3"/>
  <c r="BA13" i="3"/>
  <c r="M5" i="3"/>
  <c r="W24" i="3"/>
  <c r="AQ9" i="3"/>
  <c r="M16" i="3"/>
  <c r="AQ18" i="3"/>
  <c r="AG26" i="3"/>
  <c r="BA18" i="3"/>
  <c r="M17" i="3"/>
  <c r="M6" i="3"/>
  <c r="W33" i="3"/>
  <c r="AQ17" i="3"/>
  <c r="W6" i="3"/>
  <c r="AQ21" i="3"/>
  <c r="M30" i="3"/>
  <c r="AQ8" i="3"/>
  <c r="W11" i="3"/>
  <c r="AG27" i="3"/>
  <c r="BA29" i="3"/>
  <c r="BA5" i="3"/>
  <c r="AQ33" i="3"/>
  <c r="AQ30" i="3"/>
  <c r="W13" i="3"/>
  <c r="AQ13" i="3"/>
  <c r="AG25" i="3"/>
  <c r="W28" i="3"/>
  <c r="BA26" i="3"/>
  <c r="AG14" i="3"/>
  <c r="M7" i="3"/>
  <c r="W15" i="3"/>
  <c r="W29" i="3"/>
  <c r="AQ14" i="3"/>
  <c r="BA33" i="3"/>
  <c r="AG9" i="3"/>
  <c r="M23" i="3"/>
  <c r="BA34" i="3"/>
  <c r="AG15" i="3"/>
  <c r="M31" i="3"/>
  <c r="BA16" i="3"/>
  <c r="AG6" i="3"/>
  <c r="AQ22" i="3"/>
  <c r="W23" i="3"/>
  <c r="AG21" i="3"/>
  <c r="AQ15" i="3"/>
  <c r="W27" i="3"/>
  <c r="M15" i="3"/>
  <c r="AG34" i="3"/>
  <c r="M34" i="3"/>
  <c r="BA20" i="3"/>
  <c r="AG17" i="3"/>
  <c r="M20" i="3"/>
  <c r="BA32" i="3"/>
  <c r="AG23" i="3"/>
  <c r="BA25" i="3"/>
  <c r="M10" i="3"/>
  <c r="W9" i="3"/>
  <c r="M19" i="3"/>
  <c r="BA15" i="3"/>
  <c r="BA19" i="3"/>
  <c r="AG8" i="3"/>
  <c r="BA23" i="3"/>
  <c r="M22" i="3"/>
  <c r="BA24" i="3"/>
  <c r="AG12" i="3"/>
  <c r="M9" i="3"/>
  <c r="W12" i="3"/>
  <c r="BA10" i="3"/>
  <c r="M25" i="3"/>
  <c r="AG24" i="3"/>
  <c r="BA31" i="3"/>
  <c r="W20" i="3"/>
  <c r="W16" i="3"/>
  <c r="W31" i="3"/>
  <c r="AG13" i="3"/>
  <c r="AQ6" i="3"/>
  <c r="AQ12" i="3"/>
  <c r="BA8" i="3"/>
  <c r="M27" i="3"/>
  <c r="AG31" i="3"/>
  <c r="AQ34" i="3"/>
  <c r="AQ24" i="3"/>
  <c r="W26" i="3"/>
  <c r="W8" i="3"/>
  <c r="AQ31" i="3"/>
  <c r="AG5" i="3"/>
  <c r="BA6" i="3"/>
  <c r="AG11" i="3"/>
  <c r="BA21" i="3"/>
  <c r="BA11" i="3"/>
  <c r="M11" i="3"/>
  <c r="W5" i="3"/>
  <c r="W10" i="3"/>
  <c r="AQ29" i="3"/>
  <c r="BA9" i="3"/>
  <c r="M26" i="3"/>
  <c r="W17" i="3"/>
  <c r="W22" i="3"/>
  <c r="AQ16" i="3"/>
</calcChain>
</file>

<file path=xl/comments1.xml><?xml version="1.0" encoding="utf-8"?>
<comments xmlns="http://schemas.openxmlformats.org/spreadsheetml/2006/main">
  <authors>
    <author>作者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細明體"/>
            <family val="3"/>
            <charset val="136"/>
          </rPr>
          <t>勾選想要作用的檔名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細明體"/>
            <family val="3"/>
            <charset val="136"/>
          </rPr>
          <t>如有重覆勾選,將以最上面一筆為選擇對象</t>
        </r>
      </text>
    </comment>
    <comment ref="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-  </t>
        </r>
        <r>
          <rPr>
            <sz val="9"/>
            <color indexed="81"/>
            <rFont val="細明體"/>
            <family val="3"/>
            <charset val="136"/>
          </rPr>
          <t>填入標題列數
- 這個功能列出標題項目, 供之後選用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細明體"/>
            <family val="3"/>
            <charset val="136"/>
          </rPr>
          <t>勾選需要作用的分頁(Sheet)</t>
        </r>
      </text>
    </comment>
  </commentList>
</comments>
</file>

<file path=xl/sharedStrings.xml><?xml version="1.0" encoding="utf-8"?>
<sst xmlns="http://schemas.openxmlformats.org/spreadsheetml/2006/main" count="344" uniqueCount="169">
  <si>
    <t>List All opened Excel file
And mark the one we are going to modify as "V"</t>
    <phoneticPr fontId="2" type="noConversion"/>
  </si>
  <si>
    <t>V</t>
  </si>
  <si>
    <t>Column Name</t>
    <phoneticPr fontId="2" type="noConversion"/>
  </si>
  <si>
    <t>Column Number</t>
    <phoneticPr fontId="2" type="noConversion"/>
  </si>
  <si>
    <t>Item NO.</t>
    <phoneticPr fontId="2" type="noConversion"/>
  </si>
  <si>
    <t>Show or Not</t>
    <phoneticPr fontId="2" type="noConversion"/>
  </si>
  <si>
    <t>Y</t>
  </si>
  <si>
    <t>N</t>
  </si>
  <si>
    <t>目前開啟的EXCEL檔名</t>
    <phoneticPr fontId="2" type="noConversion"/>
  </si>
  <si>
    <t>雙撃勾選</t>
    <phoneticPr fontId="2" type="noConversion"/>
  </si>
  <si>
    <t>List All Sheets in selected Excel file
And mark the one we are going to modify as "V"</t>
    <phoneticPr fontId="2" type="noConversion"/>
  </si>
  <si>
    <t>列出所有的 Sheets 名稱</t>
    <phoneticPr fontId="2" type="noConversion"/>
  </si>
  <si>
    <t>DD_plasticMaterialLossRate</t>
    <phoneticPr fontId="2" type="noConversion"/>
  </si>
  <si>
    <t>ML_commonPartCategory</t>
    <phoneticPr fontId="2" type="noConversion"/>
  </si>
  <si>
    <t>ML_material</t>
    <phoneticPr fontId="2" type="noConversion"/>
  </si>
  <si>
    <t>ML_thickness</t>
    <phoneticPr fontId="2" type="noConversion"/>
  </si>
  <si>
    <t>ML_materialSpec</t>
    <phoneticPr fontId="2" type="noConversion"/>
  </si>
  <si>
    <t>ML_partCategory2</t>
    <phoneticPr fontId="2" type="noConversion"/>
  </si>
  <si>
    <t>ML_materialSpecDoubleInjection</t>
    <phoneticPr fontId="2" type="noConversion"/>
  </si>
  <si>
    <t>ML_materialDoubleInjection</t>
    <phoneticPr fontId="2" type="noConversion"/>
  </si>
  <si>
    <t>Title 名稱</t>
    <phoneticPr fontId="2" type="noConversion"/>
  </si>
  <si>
    <t>行數</t>
    <phoneticPr fontId="2" type="noConversion"/>
  </si>
  <si>
    <t>Config. Note</t>
  </si>
  <si>
    <t>Part Group</t>
  </si>
  <si>
    <t xml:space="preserve">* Level </t>
  </si>
  <si>
    <t>Parents Part Name</t>
  </si>
  <si>
    <t>Parents Part Number</t>
  </si>
  <si>
    <t>Part Number</t>
  </si>
  <si>
    <t>Pro-e file name</t>
  </si>
  <si>
    <t>* Part Name</t>
  </si>
  <si>
    <t>classification</t>
  </si>
  <si>
    <t>是否需報價</t>
  </si>
  <si>
    <t>Initial/ Add/ Modify/ Delete</t>
  </si>
  <si>
    <t>*Owner</t>
  </si>
  <si>
    <t>If ID related Tooling</t>
  </si>
  <si>
    <t>If need cosmetic for new</t>
  </si>
  <si>
    <t>If need new tooling click Y</t>
  </si>
  <si>
    <t>ODM/OEM</t>
  </si>
  <si>
    <t>If major part</t>
  </si>
  <si>
    <t>* Assy Category</t>
  </si>
  <si>
    <t>* Function Category</t>
  </si>
  <si>
    <t>Part Category I</t>
  </si>
  <si>
    <t>Part Category II</t>
  </si>
  <si>
    <t>Material Spec.</t>
  </si>
  <si>
    <t>Material</t>
  </si>
  <si>
    <t>Material Spec.二射(原料材質)</t>
  </si>
  <si>
    <t xml:space="preserve"> Material 二射(牌號)</t>
  </si>
  <si>
    <t>M (mm)</t>
  </si>
  <si>
    <t>L2 (成品展開) (mm)</t>
  </si>
  <si>
    <t>W2 (成品展開) (mm)</t>
  </si>
  <si>
    <t>密度</t>
  </si>
  <si>
    <t>體積</t>
  </si>
  <si>
    <t>後加工重量(g)</t>
  </si>
  <si>
    <t>Weight (g)</t>
  </si>
  <si>
    <t>Pro-E(ID)</t>
  </si>
  <si>
    <t>ME/CMF Summary</t>
  </si>
  <si>
    <t>Tooling/Sourcer Summary</t>
  </si>
  <si>
    <t>* Cost-SKU0(QTY)</t>
  </si>
  <si>
    <t>* Cost-SKU1(QTY)</t>
  </si>
  <si>
    <t>Cost-SKU2(QTY)</t>
  </si>
  <si>
    <t>Cost-SKU3(QTY)</t>
  </si>
  <si>
    <t>Cost-SKU4(QTY)</t>
  </si>
  <si>
    <t>Cost-SKU5(QTY)</t>
  </si>
  <si>
    <t>Cost-SKU6(QTY)</t>
  </si>
  <si>
    <t>Cost-SKU7(QTY)</t>
  </si>
  <si>
    <t>Cost-SKU8(QTY)</t>
  </si>
  <si>
    <t>Cost-SKU9(QTY)</t>
  </si>
  <si>
    <t>Cost-SKU10(QTY)</t>
  </si>
  <si>
    <t>Cost-SKU11(QTY)</t>
  </si>
  <si>
    <t>Cost-SKU12(QTY)</t>
  </si>
  <si>
    <t>Cost-SKU13(QTY)</t>
  </si>
  <si>
    <t>Cost-SKU14(QTY)</t>
  </si>
  <si>
    <t>Cost-SKU15(QTY)</t>
  </si>
  <si>
    <t>BOM-SKU1(QTY)</t>
  </si>
  <si>
    <t>BOM-SKU2(QTY)</t>
  </si>
  <si>
    <t>BOM-SKU3(QTY)</t>
  </si>
  <si>
    <t>BOM-SKU4(QTY)</t>
  </si>
  <si>
    <t>BOM-SKU5(QTY)</t>
  </si>
  <si>
    <t>BOM-SKU6(QTY)</t>
  </si>
  <si>
    <t>BOM-SKU7(QTY)</t>
  </si>
  <si>
    <t>BOM-SKU8(QTY)</t>
  </si>
  <si>
    <t>BOM-SKU9(QTY)</t>
  </si>
  <si>
    <t>BOM-SKU10(QTY)</t>
  </si>
  <si>
    <t>BOM-SKU11(QTY)</t>
  </si>
  <si>
    <t>BOM-SKU12(QTY)</t>
  </si>
  <si>
    <t>BOM-SKU13(QTY)</t>
  </si>
  <si>
    <t>BOM-SKU14(QTY)</t>
  </si>
  <si>
    <t>BOM-SKU15(QTY)</t>
  </si>
  <si>
    <t>BOM-SKU16(QTY)</t>
  </si>
  <si>
    <t>BOM-SKU17(QTY)</t>
  </si>
  <si>
    <t>BOM-SKU18(QTY)</t>
  </si>
  <si>
    <t>BOM-SKU19(QTY)</t>
  </si>
  <si>
    <t>BOM-SKU20(QTY)</t>
  </si>
  <si>
    <t>BOM-SKU21(QTY)</t>
  </si>
  <si>
    <t>BOM-SKU22(QTY)</t>
  </si>
  <si>
    <t>BOM-SKU23(QTY)</t>
  </si>
  <si>
    <t>BOM-SKU24(QTY)</t>
  </si>
  <si>
    <t>BOM-SKU25(QTY)</t>
  </si>
  <si>
    <t>BOM-SKU26(QTY)</t>
  </si>
  <si>
    <t>BOM-SKU27(QTY)</t>
  </si>
  <si>
    <t>BOM-SKU28(QTY)</t>
  </si>
  <si>
    <t>BOM-SKU29(QTY)</t>
  </si>
  <si>
    <t>BOM-SKU30(QTY)</t>
  </si>
  <si>
    <t>BOM-SKU31(QTY)</t>
  </si>
  <si>
    <t>BOM-SKU32(QTY)</t>
  </si>
  <si>
    <t>BOM-SKU33(QTY)</t>
  </si>
  <si>
    <t>BOM-SKU34(QTY)</t>
  </si>
  <si>
    <t>BOM-SKU35(QTY)</t>
  </si>
  <si>
    <t>BOM-SKU36(QTY)</t>
  </si>
  <si>
    <t>BOM-SKU37(QTY)</t>
  </si>
  <si>
    <t>BOM-SKU38(QTY)</t>
  </si>
  <si>
    <t>BOM-SKU39(QTY)</t>
  </si>
  <si>
    <t>BOM-SKU40(QTY)</t>
  </si>
  <si>
    <t>BOM-SKU41(QTY)</t>
  </si>
  <si>
    <t>BOM-SKU42(QTY)</t>
  </si>
  <si>
    <t>BOM-SKU43(QTY)</t>
  </si>
  <si>
    <t>BOM-SKU44(QTY)</t>
  </si>
  <si>
    <t>Common PartCategory</t>
  </si>
  <si>
    <t>L(mm)</t>
  </si>
  <si>
    <t>W(mm)</t>
  </si>
  <si>
    <t>H(mm)</t>
  </si>
  <si>
    <t>Ф(mm)</t>
  </si>
  <si>
    <t>Thickness (mm)</t>
  </si>
  <si>
    <t>素材重(g)Part Weight (g)(一射成品)</t>
  </si>
  <si>
    <t>Part Weight (g)(二射成品)</t>
  </si>
  <si>
    <t>(3) Setup Title Row :</t>
    <phoneticPr fontId="2" type="noConversion"/>
  </si>
  <si>
    <t>Setup 1</t>
    <phoneticPr fontId="2" type="noConversion"/>
  </si>
  <si>
    <t>Setup 2</t>
    <phoneticPr fontId="2" type="noConversion"/>
  </si>
  <si>
    <t>Setup 3</t>
    <phoneticPr fontId="2" type="noConversion"/>
  </si>
  <si>
    <t>Setup 4</t>
    <phoneticPr fontId="2" type="noConversion"/>
  </si>
  <si>
    <t>Setup 5</t>
    <phoneticPr fontId="2" type="noConversion"/>
  </si>
  <si>
    <t>Process(E-Pro Plastic Tooling)</t>
  </si>
  <si>
    <t>示意圖Drawing</t>
  </si>
  <si>
    <t>Q/S</t>
  </si>
  <si>
    <t>含金屬成分的後加工(Y/N)</t>
  </si>
  <si>
    <t>原料商(*英文名)</t>
  </si>
  <si>
    <t>Remark</t>
  </si>
  <si>
    <t>1st SourcePart Number</t>
  </si>
  <si>
    <t>1st SourceVendor (中)</t>
  </si>
  <si>
    <t>2nd SourcePart Number</t>
  </si>
  <si>
    <t>2nd SourceVendor (中)</t>
  </si>
  <si>
    <t>3rd SourcePart Number</t>
  </si>
  <si>
    <t>3rd SourceVendor (中)</t>
  </si>
  <si>
    <t>4th SourcePart Number</t>
  </si>
  <si>
    <t>4th SourceVendor (中)</t>
  </si>
  <si>
    <t>5th SourcePart Number</t>
  </si>
  <si>
    <t>5th SourceVendor (中)</t>
  </si>
  <si>
    <t>Weight (g)Mockup</t>
  </si>
  <si>
    <t>Weight (g)TSR</t>
  </si>
  <si>
    <t>Weight (g)ENG 1</t>
  </si>
  <si>
    <t>Weight (g)ENG 2</t>
  </si>
  <si>
    <t>Weight (g)PD</t>
  </si>
  <si>
    <t>Weight (g)MP</t>
  </si>
  <si>
    <t>CustomerNickname</t>
  </si>
  <si>
    <t>CustomerPart NO.</t>
  </si>
  <si>
    <t>Project Code</t>
  </si>
  <si>
    <t>備註</t>
  </si>
  <si>
    <t>Y</t>
    <phoneticPr fontId="2" type="noConversion"/>
  </si>
  <si>
    <t>N</t>
    <phoneticPr fontId="2" type="noConversion"/>
  </si>
  <si>
    <t>Excel_HideColumnTool_V2.0.xlsm</t>
  </si>
  <si>
    <t>Y</t>
    <phoneticPr fontId="2" type="noConversion"/>
  </si>
  <si>
    <t>Y</t>
    <phoneticPr fontId="2" type="noConversion"/>
  </si>
  <si>
    <t>Example_20210403_1.xlsx</t>
  </si>
  <si>
    <t>Sheet1</t>
  </si>
  <si>
    <t>工作表1</t>
  </si>
  <si>
    <t>工作表2</t>
  </si>
  <si>
    <t>ID1</t>
  </si>
  <si>
    <t>ID2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</si>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</sst>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1"/>
      <name val="新細明體"/>
      <family val="2"/>
      <scheme val="minor"/>
    </font>
    <font>
      <sz val="11"/>
      <color theme="0"/>
      <name val="新細明體"/>
      <family val="2"/>
      <scheme val="minor"/>
    </font>
    <font>
      <sz val="11"/>
      <name val="新細明體"/>
      <family val="1"/>
      <charset val="136"/>
      <scheme val="minor"/>
    </font>
    <font>
      <b/>
      <sz val="11"/>
      <name val="新細明體"/>
      <family val="2"/>
      <scheme val="minor"/>
    </font>
    <font>
      <sz val="12"/>
      <name val="新細明體"/>
      <family val="1"/>
      <charset val="136"/>
    </font>
    <font>
      <b/>
      <sz val="12"/>
      <color theme="1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9"/>
      <color indexed="81"/>
      <name val="細明體"/>
      <family val="3"/>
      <charset val="136"/>
    </font>
    <font>
      <b/>
      <sz val="11"/>
      <color theme="1"/>
      <name val="Arial"/>
      <family val="2"/>
    </font>
    <font>
      <sz val="11"/>
      <color theme="0"/>
      <name val="新細明體"/>
      <family val="1"/>
      <charset val="136"/>
      <scheme val="minor"/>
    </font>
    <font>
      <b/>
      <sz val="18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FFFF00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>
      <alignment vertical="center"/>
    </xf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/>
    <xf numFmtId="0" fontId="0" fillId="2" borderId="0" xfId="0" applyFill="1" applyAlignment="1">
      <alignment wrapText="1"/>
    </xf>
    <xf numFmtId="0" fontId="0" fillId="0" borderId="1" xfId="0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left" vertical="center" wrapText="1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/>
    </xf>
    <xf numFmtId="0" fontId="6" fillId="5" borderId="11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top"/>
    </xf>
    <xf numFmtId="0" fontId="0" fillId="7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top" wrapText="1"/>
    </xf>
    <xf numFmtId="1" fontId="9" fillId="0" borderId="1" xfId="1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/>
    </xf>
    <xf numFmtId="0" fontId="9" fillId="0" borderId="1" xfId="1" applyFont="1" applyFill="1" applyBorder="1" applyAlignment="1" applyProtection="1">
      <alignment horizontal="center" vertic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8" fillId="0" borderId="1" xfId="2" applyFont="1" applyFill="1" applyBorder="1" applyAlignment="1" applyProtection="1">
      <alignment horizontal="center" vertical="center" wrapText="1"/>
      <protection locked="0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5" fillId="0" borderId="7" xfId="0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>
      <alignment vertical="center" wrapText="1"/>
    </xf>
    <xf numFmtId="0" fontId="5" fillId="0" borderId="4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vertical="center"/>
    </xf>
    <xf numFmtId="0" fontId="6" fillId="5" borderId="9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16" fillId="8" borderId="0" xfId="0" applyFont="1" applyFill="1" applyAlignment="1">
      <alignment horizontal="center" vertical="center"/>
    </xf>
    <xf numFmtId="0" fontId="16" fillId="8" borderId="13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</cellXfs>
  <cellStyles count="3">
    <cellStyle name="一般" xfId="0" builtinId="0"/>
    <cellStyle name="一般 3" xfId="1"/>
    <cellStyle name="一般 4 2" xfId="2"/>
  </cellStyles>
  <dxfs count="3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新細明體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新細明體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新細明體"/>
        <scheme val="minor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18</xdr:row>
      <xdr:rowOff>0</xdr:rowOff>
    </xdr:from>
    <xdr:to>
      <xdr:col>3</xdr:col>
      <xdr:colOff>1</xdr:colOff>
      <xdr:row>19</xdr:row>
      <xdr:rowOff>0</xdr:rowOff>
    </xdr:to>
    <xdr:sp macro="[0]!List_Opened_XLS_Sheets" textlink="">
      <xdr:nvSpPr>
        <xdr:cNvPr id="4" name="矩形 3"/>
        <xdr:cNvSpPr/>
      </xdr:nvSpPr>
      <xdr:spPr>
        <a:xfrm>
          <a:off x="5734051" y="200025"/>
          <a:ext cx="1447800" cy="514350"/>
        </a:xfrm>
        <a:prstGeom prst="rect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(2)List Opened </a:t>
          </a:r>
          <a:br>
            <a:rPr lang="en-US" altLang="zh-TW" sz="1100"/>
          </a:br>
          <a:r>
            <a:rPr lang="en-US" altLang="zh-TW" sz="1100"/>
            <a:t>XLS</a:t>
          </a:r>
          <a:r>
            <a:rPr lang="en-US" altLang="zh-TW" sz="1100" baseline="0"/>
            <a:t> Sheets</a:t>
          </a:r>
          <a:endParaRPr lang="zh-TW" altLang="en-US" sz="1100"/>
        </a:p>
      </xdr:txBody>
    </xdr:sp>
    <xdr:clientData/>
  </xdr:twoCellAnchor>
  <xdr:twoCellAnchor>
    <xdr:from>
      <xdr:col>2</xdr:col>
      <xdr:colOff>1</xdr:colOff>
      <xdr:row>2</xdr:row>
      <xdr:rowOff>0</xdr:rowOff>
    </xdr:from>
    <xdr:to>
      <xdr:col>3</xdr:col>
      <xdr:colOff>0</xdr:colOff>
      <xdr:row>3</xdr:row>
      <xdr:rowOff>0</xdr:rowOff>
    </xdr:to>
    <xdr:sp macro="[0]!List_All_Opened_XLS" textlink="">
      <xdr:nvSpPr>
        <xdr:cNvPr id="5" name="矩形 4"/>
        <xdr:cNvSpPr/>
      </xdr:nvSpPr>
      <xdr:spPr>
        <a:xfrm>
          <a:off x="6086476" y="628650"/>
          <a:ext cx="1447799" cy="628650"/>
        </a:xfrm>
        <a:prstGeom prst="rect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/>
            <a:t>(1)List Opened </a:t>
          </a:r>
          <a:br>
            <a:rPr lang="en-US" altLang="zh-TW" sz="1100"/>
          </a:br>
          <a:r>
            <a:rPr lang="en-US" altLang="zh-TW" sz="1100"/>
            <a:t>XLS</a:t>
          </a:r>
          <a:r>
            <a:rPr lang="en-US" altLang="zh-TW" sz="1100" baseline="0"/>
            <a:t> Files</a:t>
          </a:r>
          <a:endParaRPr lang="zh-TW" altLang="en-US" sz="1100"/>
        </a:p>
      </xdr:txBody>
    </xdr:sp>
    <xdr:clientData/>
  </xdr:twoCellAnchor>
  <xdr:twoCellAnchor>
    <xdr:from>
      <xdr:col>6</xdr:col>
      <xdr:colOff>0</xdr:colOff>
      <xdr:row>3</xdr:row>
      <xdr:rowOff>1</xdr:rowOff>
    </xdr:from>
    <xdr:to>
      <xdr:col>8</xdr:col>
      <xdr:colOff>0</xdr:colOff>
      <xdr:row>5</xdr:row>
      <xdr:rowOff>1</xdr:rowOff>
    </xdr:to>
    <xdr:sp macro="[0]!ListTitle" textlink="">
      <xdr:nvSpPr>
        <xdr:cNvPr id="2" name="矩形 1"/>
        <xdr:cNvSpPr/>
      </xdr:nvSpPr>
      <xdr:spPr>
        <a:xfrm>
          <a:off x="12496800" y="923926"/>
          <a:ext cx="2590800" cy="400050"/>
        </a:xfrm>
        <a:prstGeom prst="rect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zh-TW" sz="1100">
              <a:solidFill>
                <a:schemeClr val="dk1"/>
              </a:solidFill>
              <a:latin typeface="+mn-lt"/>
              <a:ea typeface="+mn-ea"/>
              <a:cs typeface="+mn-cs"/>
            </a:rPr>
            <a:t>(4)</a:t>
          </a:r>
          <a:r>
            <a:rPr lang="zh-TW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列出</a:t>
          </a:r>
          <a:r>
            <a:rPr lang="en-US" altLang="zh-TW" sz="1100">
              <a:solidFill>
                <a:schemeClr val="dk1"/>
              </a:solidFill>
              <a:latin typeface="+mn-lt"/>
              <a:ea typeface="+mn-ea"/>
              <a:cs typeface="+mn-cs"/>
            </a:rPr>
            <a:t>Title</a:t>
          </a:r>
          <a:r>
            <a:rPr lang="zh-TW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選項</a:t>
          </a:r>
          <a:endParaRPr lang="en-US" altLang="zh-TW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257174</xdr:colOff>
      <xdr:row>0</xdr:row>
      <xdr:rowOff>1</xdr:rowOff>
    </xdr:from>
    <xdr:to>
      <xdr:col>11</xdr:col>
      <xdr:colOff>2028824</xdr:colOff>
      <xdr:row>1</xdr:row>
      <xdr:rowOff>1</xdr:rowOff>
    </xdr:to>
    <xdr:sp macro="[0]!UnHideAllColumn" textlink="">
      <xdr:nvSpPr>
        <xdr:cNvPr id="3" name="矩形 2"/>
        <xdr:cNvSpPr/>
      </xdr:nvSpPr>
      <xdr:spPr>
        <a:xfrm>
          <a:off x="2847974" y="1"/>
          <a:ext cx="2638425" cy="457200"/>
        </a:xfrm>
        <a:prstGeom prst="rect">
          <a:avLst/>
        </a:prstGeom>
        <a:ln w="28575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 b="1"/>
            <a:t>Reset</a:t>
          </a:r>
          <a:endParaRPr lang="zh-TW" altLang="en-US" sz="1400" b="1"/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2</xdr:col>
      <xdr:colOff>0</xdr:colOff>
      <xdr:row>14</xdr:row>
      <xdr:rowOff>0</xdr:rowOff>
    </xdr:to>
    <xdr:sp macro="[0]!QuickClearUp" textlink="">
      <xdr:nvSpPr>
        <xdr:cNvPr id="6" name="文字方塊 5"/>
        <xdr:cNvSpPr txBox="1"/>
      </xdr:nvSpPr>
      <xdr:spPr>
        <a:xfrm>
          <a:off x="609600" y="457200"/>
          <a:ext cx="2171700" cy="2838450"/>
        </a:xfrm>
        <a:prstGeom prst="rect">
          <a:avLst/>
        </a:prstGeom>
        <a:ln w="28575">
          <a:solidFill>
            <a:srgbClr val="FF0000"/>
          </a:solidFill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wrap="square" lIns="144000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Quick Clear Up </a:t>
          </a:r>
          <a:r>
            <a:rPr lang="zh-TW" altLang="en-US" sz="14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初步整理版面</a:t>
          </a:r>
          <a:r>
            <a:rPr lang="en-US" altLang="zh-TW" sz="14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  </a:t>
          </a:r>
          <a:r>
            <a:rPr lang="en-US" altLang="zh-T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(used</a:t>
          </a:r>
          <a:r>
            <a:rPr lang="en-US" altLang="zh-TW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 EMDM format only)</a:t>
          </a:r>
          <a:r>
            <a:rPr lang="en-US" altLang="zh-T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br>
            <a:rPr lang="en-US" altLang="zh-T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- 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將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LV2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的背景填滿顏色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/>
          </a:r>
          <a:b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</a:b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- 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設定全部列高為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25</a:t>
          </a:r>
          <a:b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</a:b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- 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隱藏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1~6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列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/>
          </a:r>
          <a:b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</a:b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- 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凍結窗格第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9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列</a:t>
          </a: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</a:t>
          </a:r>
          <a:b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</a:br>
          <a:r>
            <a:rPr lang="en-US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  - </a:t>
          </a:r>
          <a:r>
            <a:rPr lang="zh-TW" altLang="zh-TW" sz="1100" b="1">
              <a:solidFill>
                <a:schemeClr val="dk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建立篩選功能</a:t>
          </a:r>
          <a:endParaRPr lang="zh-TW" altLang="zh-TW">
            <a:effectLst/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endParaRPr lang="zh-TW" altLang="en-US" sz="1100"/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14</xdr:col>
      <xdr:colOff>0</xdr:colOff>
      <xdr:row>3</xdr:row>
      <xdr:rowOff>0</xdr:rowOff>
    </xdr:to>
    <xdr:sp macro="[0]!工作表3.Activate1" textlink="">
      <xdr:nvSpPr>
        <xdr:cNvPr id="8" name="矩形 7"/>
        <xdr:cNvSpPr/>
      </xdr:nvSpPr>
      <xdr:spPr>
        <a:xfrm>
          <a:off x="7219950" y="457200"/>
          <a:ext cx="1114425" cy="600075"/>
        </a:xfrm>
        <a:prstGeom prst="rect">
          <a:avLst/>
        </a:prstGeom>
        <a:solidFill>
          <a:schemeClr val="accent2"/>
        </a:solidFill>
        <a:ln w="28575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Activate(1)</a:t>
          </a:r>
          <a:endParaRPr lang="zh-TW" altLang="en-US" sz="1600" b="1"/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3</xdr:row>
      <xdr:rowOff>0</xdr:rowOff>
    </xdr:to>
    <xdr:sp macro="[0]!工作表3.Activate2" textlink="">
      <xdr:nvSpPr>
        <xdr:cNvPr id="9" name="矩形 8"/>
        <xdr:cNvSpPr/>
      </xdr:nvSpPr>
      <xdr:spPr>
        <a:xfrm>
          <a:off x="13906500" y="457200"/>
          <a:ext cx="1114425" cy="600075"/>
        </a:xfrm>
        <a:prstGeom prst="rect">
          <a:avLst/>
        </a:prstGeom>
        <a:solidFill>
          <a:schemeClr val="accent2"/>
        </a:solidFill>
        <a:ln w="28575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Activate(2)</a:t>
          </a:r>
          <a:endParaRPr lang="zh-TW" altLang="en-US" sz="1600" b="1"/>
        </a:p>
      </xdr:txBody>
    </xdr:sp>
    <xdr:clientData/>
  </xdr:twoCellAnchor>
  <xdr:twoCellAnchor>
    <xdr:from>
      <xdr:col>33</xdr:col>
      <xdr:colOff>0</xdr:colOff>
      <xdr:row>1</xdr:row>
      <xdr:rowOff>0</xdr:rowOff>
    </xdr:from>
    <xdr:to>
      <xdr:col>34</xdr:col>
      <xdr:colOff>0</xdr:colOff>
      <xdr:row>3</xdr:row>
      <xdr:rowOff>0</xdr:rowOff>
    </xdr:to>
    <xdr:sp macro="[0]!工作表3.Activate3" textlink="">
      <xdr:nvSpPr>
        <xdr:cNvPr id="10" name="矩形 9"/>
        <xdr:cNvSpPr/>
      </xdr:nvSpPr>
      <xdr:spPr>
        <a:xfrm>
          <a:off x="7219950" y="457200"/>
          <a:ext cx="1114425" cy="600075"/>
        </a:xfrm>
        <a:prstGeom prst="rect">
          <a:avLst/>
        </a:prstGeom>
        <a:solidFill>
          <a:schemeClr val="accent2"/>
        </a:solidFill>
        <a:ln w="28575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Activate(3)</a:t>
          </a:r>
          <a:endParaRPr lang="zh-TW" altLang="en-US" sz="1600" b="1"/>
        </a:p>
      </xdr:txBody>
    </xdr:sp>
    <xdr:clientData/>
  </xdr:twoCellAnchor>
  <xdr:twoCellAnchor>
    <xdr:from>
      <xdr:col>43</xdr:col>
      <xdr:colOff>0</xdr:colOff>
      <xdr:row>1</xdr:row>
      <xdr:rowOff>0</xdr:rowOff>
    </xdr:from>
    <xdr:to>
      <xdr:col>44</xdr:col>
      <xdr:colOff>0</xdr:colOff>
      <xdr:row>3</xdr:row>
      <xdr:rowOff>0</xdr:rowOff>
    </xdr:to>
    <xdr:sp macro="[0]!工作表3.Activate4" textlink="">
      <xdr:nvSpPr>
        <xdr:cNvPr id="11" name="矩形 10"/>
        <xdr:cNvSpPr/>
      </xdr:nvSpPr>
      <xdr:spPr>
        <a:xfrm>
          <a:off x="17383125" y="457200"/>
          <a:ext cx="1114425" cy="600075"/>
        </a:xfrm>
        <a:prstGeom prst="rect">
          <a:avLst/>
        </a:prstGeom>
        <a:solidFill>
          <a:schemeClr val="accent2"/>
        </a:solidFill>
        <a:ln w="28575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Activate(4)</a:t>
          </a:r>
          <a:endParaRPr lang="zh-TW" altLang="en-US" sz="1600" b="1"/>
        </a:p>
      </xdr:txBody>
    </xdr:sp>
    <xdr:clientData/>
  </xdr:twoCellAnchor>
  <xdr:twoCellAnchor>
    <xdr:from>
      <xdr:col>53</xdr:col>
      <xdr:colOff>0</xdr:colOff>
      <xdr:row>1</xdr:row>
      <xdr:rowOff>0</xdr:rowOff>
    </xdr:from>
    <xdr:to>
      <xdr:col>54</xdr:col>
      <xdr:colOff>0</xdr:colOff>
      <xdr:row>3</xdr:row>
      <xdr:rowOff>0</xdr:rowOff>
    </xdr:to>
    <xdr:sp macro="[0]!工作表3.Activate5" textlink="">
      <xdr:nvSpPr>
        <xdr:cNvPr id="12" name="矩形 11"/>
        <xdr:cNvSpPr/>
      </xdr:nvSpPr>
      <xdr:spPr>
        <a:xfrm>
          <a:off x="22507575" y="457200"/>
          <a:ext cx="1114425" cy="600075"/>
        </a:xfrm>
        <a:prstGeom prst="rect">
          <a:avLst/>
        </a:prstGeom>
        <a:solidFill>
          <a:schemeClr val="accent2"/>
        </a:solidFill>
        <a:ln w="28575"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Activate(5)</a:t>
          </a:r>
          <a:endParaRPr lang="zh-TW" altLang="en-US" sz="1600" b="1"/>
        </a:p>
      </xdr:txBody>
    </xdr:sp>
    <xdr:clientData/>
  </xdr:twoCellAnchor>
</xdr:wsDr>
</file>

<file path=xl/tables/table1.xml><?xml version="1.0" encoding="utf-8"?>
<table xmlns="http://schemas.openxmlformats.org/spreadsheetml/2006/main" id="1" name="表格1" displayName="表格1" ref="B4:C15" totalsRowShown="0" headerRowDxfId="28" dataDxfId="26" headerRowBorderDxfId="27" tableBorderDxfId="25" totalsRowBorderDxfId="24">
  <tableColumns count="2">
    <tableColumn id="1" name="目前開啟的EXCEL檔名" dataDxfId="23"/>
    <tableColumn id="2" name="雙撃勾選" dataDxfId="2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2:H139"/>
  <sheetViews>
    <sheetView workbookViewId="0">
      <selection activeCell="H3" sqref="H3"/>
    </sheetView>
  </sheetViews>
  <sheetFormatPr defaultRowHeight="24.95" customHeight="1"/>
  <cols>
    <col min="1" max="1" width="5.28515625" customWidth="1"/>
    <col min="2" max="2" width="86" customWidth="1"/>
    <col min="3" max="3" width="21.7109375" customWidth="1"/>
    <col min="4" max="4" width="0" hidden="1" customWidth="1"/>
    <col min="5" max="5" width="7.5703125" hidden="1" customWidth="1"/>
    <col min="6" max="6" width="5.140625" customWidth="1"/>
    <col min="7" max="7" width="29.7109375" style="8" customWidth="1"/>
    <col min="8" max="8" width="9.140625" style="7"/>
  </cols>
  <sheetData>
    <row r="2" spans="2:8" ht="24.95" customHeight="1" thickBot="1"/>
    <row r="3" spans="2:8" ht="50.1" customHeight="1" thickBot="1">
      <c r="B3" s="6" t="s">
        <v>0</v>
      </c>
      <c r="C3" s="3"/>
      <c r="D3" s="2"/>
      <c r="E3" s="2"/>
      <c r="G3" s="6" t="s">
        <v>125</v>
      </c>
      <c r="H3" s="17">
        <v>8</v>
      </c>
    </row>
    <row r="4" spans="2:8" ht="24.95" customHeight="1">
      <c r="B4" s="29" t="s">
        <v>8</v>
      </c>
      <c r="C4" s="30" t="s">
        <v>9</v>
      </c>
    </row>
    <row r="5" spans="2:8" ht="24.95" customHeight="1">
      <c r="B5" s="26" t="s">
        <v>159</v>
      </c>
      <c r="C5" s="23"/>
    </row>
    <row r="6" spans="2:8" ht="24.95" customHeight="1" thickBot="1">
      <c r="B6" s="27" t="s">
        <v>162</v>
      </c>
      <c r="C6" s="23" t="s">
        <v>1</v>
      </c>
    </row>
    <row r="7" spans="2:8" ht="24.95" customHeight="1">
      <c r="B7" s="27"/>
      <c r="C7" s="23"/>
      <c r="G7" s="9" t="s">
        <v>20</v>
      </c>
      <c r="H7" s="10" t="s">
        <v>21</v>
      </c>
    </row>
    <row r="8" spans="2:8" ht="24.95" customHeight="1">
      <c r="B8" s="27"/>
      <c r="C8" s="23"/>
      <c r="G8" s="11" t="s">
        <v>166</v>
      </c>
      <c r="H8" s="12">
        <v>1</v>
      </c>
    </row>
    <row r="9" spans="2:8" ht="24.95" customHeight="1">
      <c r="B9" s="27"/>
      <c r="C9" s="23"/>
      <c r="G9" s="11" t="s">
        <v>167</v>
      </c>
      <c r="H9" s="12">
        <v>2</v>
      </c>
    </row>
    <row r="10" spans="2:8" ht="24.95" customHeight="1">
      <c r="B10" s="27"/>
      <c r="C10" s="23"/>
      <c r="G10" s="11" t="s">
        <v>22</v>
      </c>
      <c r="H10" s="12">
        <v>3</v>
      </c>
    </row>
    <row r="11" spans="2:8" ht="24.95" customHeight="1">
      <c r="B11" s="27"/>
      <c r="C11" s="23"/>
      <c r="G11" s="11" t="s">
        <v>23</v>
      </c>
      <c r="H11" s="12">
        <v>4</v>
      </c>
    </row>
    <row r="12" spans="2:8" ht="24.95" customHeight="1">
      <c r="B12" s="27"/>
      <c r="C12" s="23"/>
      <c r="G12" s="13" t="s">
        <v>57</v>
      </c>
      <c r="H12" s="12">
        <v>5</v>
      </c>
    </row>
    <row r="13" spans="2:8" ht="24.95" customHeight="1">
      <c r="B13" s="27"/>
      <c r="C13" s="23"/>
      <c r="G13" s="13" t="s">
        <v>58</v>
      </c>
      <c r="H13" s="12">
        <v>6</v>
      </c>
    </row>
    <row r="14" spans="2:8" ht="24.95" customHeight="1">
      <c r="B14" s="28"/>
      <c r="C14" s="24"/>
      <c r="G14" s="13" t="s">
        <v>59</v>
      </c>
      <c r="H14" s="12">
        <v>7</v>
      </c>
    </row>
    <row r="15" spans="2:8" ht="24.95" customHeight="1">
      <c r="B15" s="28"/>
      <c r="C15" s="25"/>
      <c r="G15" s="13" t="s">
        <v>60</v>
      </c>
      <c r="H15" s="12">
        <v>8</v>
      </c>
    </row>
    <row r="16" spans="2:8" ht="24.95" customHeight="1">
      <c r="G16" s="13" t="s">
        <v>61</v>
      </c>
      <c r="H16" s="12">
        <v>9</v>
      </c>
    </row>
    <row r="17" spans="2:8" ht="24.95" customHeight="1">
      <c r="G17" s="13" t="s">
        <v>62</v>
      </c>
      <c r="H17" s="12">
        <v>10</v>
      </c>
    </row>
    <row r="18" spans="2:8" ht="24.95" customHeight="1">
      <c r="G18" s="13" t="s">
        <v>63</v>
      </c>
      <c r="H18" s="12">
        <v>11</v>
      </c>
    </row>
    <row r="19" spans="2:8" ht="50.1" customHeight="1" thickBot="1">
      <c r="B19" s="6" t="s">
        <v>10</v>
      </c>
      <c r="C19" s="3"/>
      <c r="G19" s="13" t="s">
        <v>64</v>
      </c>
      <c r="H19" s="12">
        <v>12</v>
      </c>
    </row>
    <row r="20" spans="2:8" ht="24.95" customHeight="1">
      <c r="B20" s="31" t="s">
        <v>11</v>
      </c>
      <c r="C20" s="32" t="s">
        <v>9</v>
      </c>
      <c r="G20" s="13" t="s">
        <v>65</v>
      </c>
      <c r="H20" s="12">
        <v>13</v>
      </c>
    </row>
    <row r="21" spans="2:8" ht="24.95" customHeight="1">
      <c r="B21" s="33" t="s">
        <v>163</v>
      </c>
      <c r="C21" s="34" t="s">
        <v>1</v>
      </c>
      <c r="G21" s="13" t="s">
        <v>66</v>
      </c>
      <c r="H21" s="12">
        <v>14</v>
      </c>
    </row>
    <row r="22" spans="2:8" ht="24.95" customHeight="1">
      <c r="B22" s="35" t="s">
        <v>164</v>
      </c>
      <c r="C22" s="34"/>
      <c r="G22" s="13" t="s">
        <v>67</v>
      </c>
      <c r="H22" s="12">
        <v>15</v>
      </c>
    </row>
    <row r="23" spans="2:8" ht="24.95" customHeight="1">
      <c r="B23" s="35" t="s">
        <v>165</v>
      </c>
      <c r="C23" s="34"/>
      <c r="G23" s="13" t="s">
        <v>68</v>
      </c>
      <c r="H23" s="12">
        <v>16</v>
      </c>
    </row>
    <row r="24" spans="2:8" ht="24.95" customHeight="1">
      <c r="B24" s="35"/>
      <c r="C24" s="34"/>
      <c r="G24" s="13" t="s">
        <v>69</v>
      </c>
      <c r="H24" s="12">
        <v>17</v>
      </c>
    </row>
    <row r="25" spans="2:8" ht="24.95" customHeight="1">
      <c r="B25" s="35"/>
      <c r="C25" s="34"/>
      <c r="G25" s="13" t="s">
        <v>70</v>
      </c>
      <c r="H25" s="12">
        <v>18</v>
      </c>
    </row>
    <row r="26" spans="2:8" ht="24.95" customHeight="1">
      <c r="B26" s="35"/>
      <c r="C26" s="34"/>
      <c r="G26" s="13" t="s">
        <v>71</v>
      </c>
      <c r="H26" s="12">
        <v>19</v>
      </c>
    </row>
    <row r="27" spans="2:8" ht="24.95" customHeight="1">
      <c r="B27" s="35"/>
      <c r="C27" s="34"/>
      <c r="G27" s="13" t="s">
        <v>72</v>
      </c>
      <c r="H27" s="12">
        <v>20</v>
      </c>
    </row>
    <row r="28" spans="2:8" ht="24.95" customHeight="1">
      <c r="B28" s="35"/>
      <c r="C28" s="34"/>
      <c r="G28" s="13" t="s">
        <v>73</v>
      </c>
      <c r="H28" s="12">
        <v>21</v>
      </c>
    </row>
    <row r="29" spans="2:8" ht="24.95" customHeight="1">
      <c r="B29" s="35"/>
      <c r="C29" s="34"/>
      <c r="G29" s="13" t="s">
        <v>74</v>
      </c>
      <c r="H29" s="12">
        <v>22</v>
      </c>
    </row>
    <row r="30" spans="2:8" ht="24.95" customHeight="1">
      <c r="B30" s="35"/>
      <c r="C30" s="34"/>
      <c r="G30" s="13" t="s">
        <v>75</v>
      </c>
      <c r="H30" s="12">
        <v>23</v>
      </c>
    </row>
    <row r="31" spans="2:8" ht="24.95" customHeight="1">
      <c r="B31" s="35"/>
      <c r="C31" s="34"/>
      <c r="G31" s="13" t="s">
        <v>76</v>
      </c>
      <c r="H31" s="12">
        <v>24</v>
      </c>
    </row>
    <row r="32" spans="2:8" ht="24.95" customHeight="1">
      <c r="B32" s="35"/>
      <c r="C32" s="34"/>
      <c r="G32" s="13" t="s">
        <v>77</v>
      </c>
      <c r="H32" s="12">
        <v>25</v>
      </c>
    </row>
    <row r="33" spans="2:8" ht="24.95" customHeight="1">
      <c r="B33" s="35"/>
      <c r="C33" s="34"/>
      <c r="G33" s="13" t="s">
        <v>78</v>
      </c>
      <c r="H33" s="12">
        <v>26</v>
      </c>
    </row>
    <row r="34" spans="2:8" ht="24.95" customHeight="1">
      <c r="B34" s="35"/>
      <c r="C34" s="34"/>
      <c r="G34" s="13" t="s">
        <v>79</v>
      </c>
      <c r="H34" s="12">
        <v>27</v>
      </c>
    </row>
    <row r="35" spans="2:8" ht="24.95" customHeight="1">
      <c r="B35" s="35"/>
      <c r="C35" s="34"/>
      <c r="G35" s="13" t="s">
        <v>80</v>
      </c>
      <c r="H35" s="12">
        <v>28</v>
      </c>
    </row>
    <row r="36" spans="2:8" ht="24.95" customHeight="1">
      <c r="B36" s="36" t="s">
        <v>12</v>
      </c>
      <c r="C36" s="37"/>
      <c r="G36" s="13" t="s">
        <v>81</v>
      </c>
      <c r="H36" s="12">
        <v>29</v>
      </c>
    </row>
    <row r="37" spans="2:8" ht="24.95" customHeight="1">
      <c r="B37" s="36" t="s">
        <v>13</v>
      </c>
      <c r="C37" s="37"/>
      <c r="G37" s="13" t="s">
        <v>82</v>
      </c>
      <c r="H37" s="12">
        <v>30</v>
      </c>
    </row>
    <row r="38" spans="2:8" ht="24.95" customHeight="1">
      <c r="B38" s="36" t="s">
        <v>14</v>
      </c>
      <c r="C38" s="37"/>
      <c r="G38" s="13" t="s">
        <v>83</v>
      </c>
      <c r="H38" s="12">
        <v>31</v>
      </c>
    </row>
    <row r="39" spans="2:8" ht="24.95" customHeight="1">
      <c r="B39" s="36" t="s">
        <v>15</v>
      </c>
      <c r="C39" s="37"/>
      <c r="G39" s="13" t="s">
        <v>84</v>
      </c>
      <c r="H39" s="12">
        <v>32</v>
      </c>
    </row>
    <row r="40" spans="2:8" ht="24.95" customHeight="1">
      <c r="B40" s="36" t="s">
        <v>16</v>
      </c>
      <c r="C40" s="37"/>
      <c r="G40" s="13" t="s">
        <v>85</v>
      </c>
      <c r="H40" s="12">
        <v>33</v>
      </c>
    </row>
    <row r="41" spans="2:8" ht="24.95" customHeight="1">
      <c r="B41" s="36" t="s">
        <v>17</v>
      </c>
      <c r="C41" s="37"/>
      <c r="G41" s="13" t="s">
        <v>86</v>
      </c>
      <c r="H41" s="12">
        <v>34</v>
      </c>
    </row>
    <row r="42" spans="2:8" ht="24.95" customHeight="1">
      <c r="B42" s="36" t="s">
        <v>18</v>
      </c>
      <c r="C42" s="37"/>
      <c r="G42" s="13" t="s">
        <v>87</v>
      </c>
      <c r="H42" s="12">
        <v>35</v>
      </c>
    </row>
    <row r="43" spans="2:8" ht="24.95" customHeight="1">
      <c r="B43" s="36" t="s">
        <v>19</v>
      </c>
      <c r="C43" s="37"/>
      <c r="G43" s="13" t="s">
        <v>88</v>
      </c>
      <c r="H43" s="12">
        <v>36</v>
      </c>
    </row>
    <row r="44" spans="2:8" ht="24.95" customHeight="1">
      <c r="B44" s="36" t="s">
        <v>19</v>
      </c>
      <c r="C44" s="37"/>
      <c r="G44" s="13" t="s">
        <v>89</v>
      </c>
      <c r="H44" s="12">
        <v>37</v>
      </c>
    </row>
    <row r="45" spans="2:8" ht="24.95" customHeight="1">
      <c r="B45" s="36"/>
      <c r="C45" s="37"/>
      <c r="G45" s="13" t="s">
        <v>90</v>
      </c>
      <c r="H45" s="12">
        <v>38</v>
      </c>
    </row>
    <row r="46" spans="2:8" ht="24.95" customHeight="1">
      <c r="B46" s="36"/>
      <c r="C46" s="37"/>
      <c r="G46" s="13" t="s">
        <v>91</v>
      </c>
      <c r="H46" s="12">
        <v>39</v>
      </c>
    </row>
    <row r="47" spans="2:8" ht="24.95" customHeight="1">
      <c r="B47" s="36"/>
      <c r="C47" s="37"/>
      <c r="G47" s="13" t="s">
        <v>92</v>
      </c>
      <c r="H47" s="12">
        <v>40</v>
      </c>
    </row>
    <row r="48" spans="2:8" ht="24.95" customHeight="1">
      <c r="B48" s="36"/>
      <c r="C48" s="37"/>
      <c r="G48" s="13" t="s">
        <v>93</v>
      </c>
      <c r="H48" s="12">
        <v>41</v>
      </c>
    </row>
    <row r="49" spans="2:8" ht="24.95" customHeight="1">
      <c r="B49" s="36"/>
      <c r="C49" s="37"/>
      <c r="G49" s="13" t="s">
        <v>94</v>
      </c>
      <c r="H49" s="12">
        <v>42</v>
      </c>
    </row>
    <row r="50" spans="2:8" ht="24.95" customHeight="1">
      <c r="B50" s="36"/>
      <c r="C50" s="37"/>
      <c r="G50" s="13" t="s">
        <v>95</v>
      </c>
      <c r="H50" s="12">
        <v>43</v>
      </c>
    </row>
    <row r="51" spans="2:8" ht="24.95" customHeight="1">
      <c r="G51" s="13" t="s">
        <v>96</v>
      </c>
      <c r="H51" s="12">
        <v>44</v>
      </c>
    </row>
    <row r="52" spans="2:8" ht="24.95" customHeight="1">
      <c r="G52" s="13" t="s">
        <v>97</v>
      </c>
      <c r="H52" s="12">
        <v>45</v>
      </c>
    </row>
    <row r="53" spans="2:8" ht="24.95" customHeight="1">
      <c r="G53" s="13" t="s">
        <v>98</v>
      </c>
      <c r="H53" s="12">
        <v>46</v>
      </c>
    </row>
    <row r="54" spans="2:8" ht="24.95" customHeight="1">
      <c r="G54" s="13" t="s">
        <v>99</v>
      </c>
      <c r="H54" s="12">
        <v>47</v>
      </c>
    </row>
    <row r="55" spans="2:8" ht="24.95" customHeight="1">
      <c r="G55" s="13" t="s">
        <v>100</v>
      </c>
      <c r="H55" s="12">
        <v>48</v>
      </c>
    </row>
    <row r="56" spans="2:8" ht="24.95" customHeight="1">
      <c r="G56" s="13" t="s">
        <v>101</v>
      </c>
      <c r="H56" s="12">
        <v>49</v>
      </c>
    </row>
    <row r="57" spans="2:8" ht="24.95" customHeight="1">
      <c r="G57" s="13" t="s">
        <v>102</v>
      </c>
      <c r="H57" s="12">
        <v>50</v>
      </c>
    </row>
    <row r="58" spans="2:8" ht="24.95" customHeight="1">
      <c r="G58" s="13" t="s">
        <v>103</v>
      </c>
      <c r="H58" s="12">
        <v>51</v>
      </c>
    </row>
    <row r="59" spans="2:8" ht="24.95" customHeight="1">
      <c r="G59" s="13" t="s">
        <v>104</v>
      </c>
      <c r="H59" s="12">
        <v>52</v>
      </c>
    </row>
    <row r="60" spans="2:8" ht="24.95" customHeight="1">
      <c r="G60" s="13" t="s">
        <v>105</v>
      </c>
      <c r="H60" s="12">
        <v>53</v>
      </c>
    </row>
    <row r="61" spans="2:8" ht="24.95" customHeight="1">
      <c r="G61" s="13" t="s">
        <v>106</v>
      </c>
      <c r="H61" s="12">
        <v>54</v>
      </c>
    </row>
    <row r="62" spans="2:8" ht="24.95" customHeight="1">
      <c r="G62" s="13" t="s">
        <v>107</v>
      </c>
      <c r="H62" s="12">
        <v>55</v>
      </c>
    </row>
    <row r="63" spans="2:8" ht="24.95" customHeight="1">
      <c r="G63" s="13" t="s">
        <v>108</v>
      </c>
      <c r="H63" s="12">
        <v>56</v>
      </c>
    </row>
    <row r="64" spans="2:8" ht="24.95" customHeight="1">
      <c r="G64" s="13" t="s">
        <v>109</v>
      </c>
      <c r="H64" s="12">
        <v>57</v>
      </c>
    </row>
    <row r="65" spans="7:8" ht="24.95" customHeight="1">
      <c r="G65" s="13" t="s">
        <v>110</v>
      </c>
      <c r="H65" s="12">
        <v>58</v>
      </c>
    </row>
    <row r="66" spans="7:8" ht="24.95" customHeight="1">
      <c r="G66" s="13" t="s">
        <v>111</v>
      </c>
      <c r="H66" s="12">
        <v>59</v>
      </c>
    </row>
    <row r="67" spans="7:8" ht="24.95" customHeight="1">
      <c r="G67" s="13" t="s">
        <v>112</v>
      </c>
      <c r="H67" s="12">
        <v>60</v>
      </c>
    </row>
    <row r="68" spans="7:8" ht="24.95" customHeight="1">
      <c r="G68" s="13" t="s">
        <v>113</v>
      </c>
      <c r="H68" s="12">
        <v>61</v>
      </c>
    </row>
    <row r="69" spans="7:8" ht="24.95" customHeight="1">
      <c r="G69" s="13" t="s">
        <v>114</v>
      </c>
      <c r="H69" s="12">
        <v>62</v>
      </c>
    </row>
    <row r="70" spans="7:8" ht="24.95" customHeight="1">
      <c r="G70" s="13" t="s">
        <v>115</v>
      </c>
      <c r="H70" s="12">
        <v>63</v>
      </c>
    </row>
    <row r="71" spans="7:8" ht="24.95" customHeight="1">
      <c r="G71" s="13" t="s">
        <v>116</v>
      </c>
      <c r="H71" s="12">
        <v>64</v>
      </c>
    </row>
    <row r="72" spans="7:8" ht="24.95" customHeight="1">
      <c r="G72" s="13" t="s">
        <v>24</v>
      </c>
      <c r="H72" s="12">
        <v>65</v>
      </c>
    </row>
    <row r="73" spans="7:8" ht="24.95" customHeight="1">
      <c r="G73" s="13" t="s">
        <v>25</v>
      </c>
      <c r="H73" s="12">
        <v>66</v>
      </c>
    </row>
    <row r="74" spans="7:8" ht="24.95" customHeight="1">
      <c r="G74" s="13" t="s">
        <v>26</v>
      </c>
      <c r="H74" s="12">
        <v>67</v>
      </c>
    </row>
    <row r="75" spans="7:8" ht="24.95" customHeight="1">
      <c r="G75" s="13" t="s">
        <v>27</v>
      </c>
      <c r="H75" s="12">
        <v>68</v>
      </c>
    </row>
    <row r="76" spans="7:8" ht="24.95" customHeight="1">
      <c r="G76" s="13" t="s">
        <v>168</v>
      </c>
      <c r="H76" s="12">
        <v>69</v>
      </c>
    </row>
    <row r="77" spans="7:8" ht="24.95" customHeight="1">
      <c r="G77" s="13" t="s">
        <v>28</v>
      </c>
      <c r="H77" s="12">
        <v>70</v>
      </c>
    </row>
    <row r="78" spans="7:8" ht="24.95" customHeight="1">
      <c r="G78" s="13" t="s">
        <v>29</v>
      </c>
      <c r="H78" s="12">
        <v>71</v>
      </c>
    </row>
    <row r="79" spans="7:8" ht="24.95" customHeight="1">
      <c r="G79" s="13" t="s">
        <v>30</v>
      </c>
      <c r="H79" s="12">
        <v>72</v>
      </c>
    </row>
    <row r="80" spans="7:8" ht="24.95" customHeight="1">
      <c r="G80" s="13" t="s">
        <v>31</v>
      </c>
      <c r="H80" s="12">
        <v>73</v>
      </c>
    </row>
    <row r="81" spans="7:8" ht="24.95" customHeight="1">
      <c r="G81" s="13" t="s">
        <v>32</v>
      </c>
      <c r="H81" s="12">
        <v>74</v>
      </c>
    </row>
    <row r="82" spans="7:8" ht="24.95" customHeight="1">
      <c r="G82" s="13" t="s">
        <v>33</v>
      </c>
      <c r="H82" s="12">
        <v>75</v>
      </c>
    </row>
    <row r="83" spans="7:8" ht="24.95" customHeight="1">
      <c r="G83" s="13" t="s">
        <v>34</v>
      </c>
      <c r="H83" s="12">
        <v>76</v>
      </c>
    </row>
    <row r="84" spans="7:8" ht="24.95" customHeight="1">
      <c r="G84" s="13" t="s">
        <v>35</v>
      </c>
      <c r="H84" s="12">
        <v>77</v>
      </c>
    </row>
    <row r="85" spans="7:8" ht="24.95" customHeight="1">
      <c r="G85" s="13" t="s">
        <v>36</v>
      </c>
      <c r="H85" s="12">
        <v>78</v>
      </c>
    </row>
    <row r="86" spans="7:8" ht="24.95" customHeight="1">
      <c r="G86" s="13" t="s">
        <v>37</v>
      </c>
      <c r="H86" s="12">
        <v>79</v>
      </c>
    </row>
    <row r="87" spans="7:8" ht="24.95" customHeight="1">
      <c r="G87" s="13" t="s">
        <v>38</v>
      </c>
      <c r="H87" s="12">
        <v>80</v>
      </c>
    </row>
    <row r="88" spans="7:8" ht="24.95" customHeight="1">
      <c r="G88" s="13" t="s">
        <v>39</v>
      </c>
      <c r="H88" s="12">
        <v>81</v>
      </c>
    </row>
    <row r="89" spans="7:8" ht="24.95" customHeight="1">
      <c r="G89" s="13" t="s">
        <v>40</v>
      </c>
      <c r="H89" s="12">
        <v>82</v>
      </c>
    </row>
    <row r="90" spans="7:8" ht="24.95" customHeight="1">
      <c r="G90" s="13" t="s">
        <v>41</v>
      </c>
      <c r="H90" s="12">
        <v>83</v>
      </c>
    </row>
    <row r="91" spans="7:8" ht="24.95" customHeight="1">
      <c r="G91" s="13" t="s">
        <v>42</v>
      </c>
      <c r="H91" s="12">
        <v>84</v>
      </c>
    </row>
    <row r="92" spans="7:8" ht="24.95" customHeight="1">
      <c r="G92" s="13" t="s">
        <v>43</v>
      </c>
      <c r="H92" s="12">
        <v>85</v>
      </c>
    </row>
    <row r="93" spans="7:8" ht="24.95" customHeight="1">
      <c r="G93" s="13" t="s">
        <v>44</v>
      </c>
      <c r="H93" s="12">
        <v>86</v>
      </c>
    </row>
    <row r="94" spans="7:8" ht="24.95" customHeight="1">
      <c r="G94" s="13" t="s">
        <v>117</v>
      </c>
      <c r="H94" s="12">
        <v>87</v>
      </c>
    </row>
    <row r="95" spans="7:8" ht="24.95" customHeight="1">
      <c r="G95" s="13" t="s">
        <v>45</v>
      </c>
      <c r="H95" s="12">
        <v>88</v>
      </c>
    </row>
    <row r="96" spans="7:8" ht="24.95" customHeight="1">
      <c r="G96" s="13" t="s">
        <v>46</v>
      </c>
      <c r="H96" s="12">
        <v>89</v>
      </c>
    </row>
    <row r="97" spans="7:8" ht="24.95" customHeight="1">
      <c r="G97" s="13" t="s">
        <v>118</v>
      </c>
      <c r="H97" s="12">
        <v>90</v>
      </c>
    </row>
    <row r="98" spans="7:8" ht="24.95" customHeight="1">
      <c r="G98" s="13" t="s">
        <v>119</v>
      </c>
      <c r="H98" s="12">
        <v>91</v>
      </c>
    </row>
    <row r="99" spans="7:8" ht="24.95" customHeight="1">
      <c r="G99" s="13" t="s">
        <v>120</v>
      </c>
      <c r="H99" s="12">
        <v>92</v>
      </c>
    </row>
    <row r="100" spans="7:8" ht="24.95" customHeight="1">
      <c r="G100" s="13" t="s">
        <v>121</v>
      </c>
      <c r="H100" s="12">
        <v>93</v>
      </c>
    </row>
    <row r="101" spans="7:8" ht="24.95" customHeight="1">
      <c r="G101" s="13" t="s">
        <v>47</v>
      </c>
      <c r="H101" s="12">
        <v>94</v>
      </c>
    </row>
    <row r="102" spans="7:8" ht="24.95" customHeight="1">
      <c r="G102" s="13" t="s">
        <v>48</v>
      </c>
      <c r="H102" s="12">
        <v>95</v>
      </c>
    </row>
    <row r="103" spans="7:8" ht="24.95" customHeight="1">
      <c r="G103" s="13" t="s">
        <v>49</v>
      </c>
      <c r="H103" s="12">
        <v>96</v>
      </c>
    </row>
    <row r="104" spans="7:8" ht="24.95" customHeight="1">
      <c r="G104" s="13" t="s">
        <v>122</v>
      </c>
      <c r="H104" s="12">
        <v>97</v>
      </c>
    </row>
    <row r="105" spans="7:8" ht="24.95" customHeight="1">
      <c r="G105" s="13" t="s">
        <v>50</v>
      </c>
      <c r="H105" s="12">
        <v>98</v>
      </c>
    </row>
    <row r="106" spans="7:8" ht="24.95" customHeight="1">
      <c r="G106" s="13" t="s">
        <v>51</v>
      </c>
      <c r="H106" s="12">
        <v>99</v>
      </c>
    </row>
    <row r="107" spans="7:8" ht="24.95" customHeight="1">
      <c r="G107" s="13" t="s">
        <v>123</v>
      </c>
      <c r="H107" s="12">
        <v>100</v>
      </c>
    </row>
    <row r="108" spans="7:8" ht="24.95" customHeight="1">
      <c r="G108" s="13" t="s">
        <v>124</v>
      </c>
      <c r="H108" s="12">
        <v>101</v>
      </c>
    </row>
    <row r="109" spans="7:8" ht="24.95" customHeight="1">
      <c r="G109" s="13" t="s">
        <v>52</v>
      </c>
      <c r="H109" s="12">
        <v>102</v>
      </c>
    </row>
    <row r="110" spans="7:8" ht="24.95" customHeight="1">
      <c r="G110" s="13" t="s">
        <v>53</v>
      </c>
      <c r="H110" s="12">
        <v>103</v>
      </c>
    </row>
    <row r="111" spans="7:8" ht="24.95" customHeight="1">
      <c r="G111" s="13" t="s">
        <v>54</v>
      </c>
      <c r="H111" s="12">
        <v>104</v>
      </c>
    </row>
    <row r="112" spans="7:8" ht="24.95" customHeight="1">
      <c r="G112" s="13" t="s">
        <v>55</v>
      </c>
      <c r="H112" s="12">
        <v>105</v>
      </c>
    </row>
    <row r="113" spans="7:8" ht="24.95" customHeight="1">
      <c r="G113" s="13" t="s">
        <v>56</v>
      </c>
      <c r="H113" s="12">
        <v>106</v>
      </c>
    </row>
    <row r="114" spans="7:8" ht="24.95" customHeight="1">
      <c r="G114" s="11" t="s">
        <v>131</v>
      </c>
      <c r="H114" s="12">
        <v>107</v>
      </c>
    </row>
    <row r="115" spans="7:8" ht="24.95" customHeight="1">
      <c r="G115" s="11" t="s">
        <v>132</v>
      </c>
      <c r="H115" s="12">
        <v>108</v>
      </c>
    </row>
    <row r="116" spans="7:8" ht="24.95" customHeight="1">
      <c r="G116" s="11" t="s">
        <v>133</v>
      </c>
      <c r="H116" s="12">
        <v>109</v>
      </c>
    </row>
    <row r="117" spans="7:8" ht="24.95" customHeight="1">
      <c r="G117" s="11" t="s">
        <v>134</v>
      </c>
      <c r="H117" s="12">
        <v>110</v>
      </c>
    </row>
    <row r="118" spans="7:8" ht="24.95" customHeight="1">
      <c r="G118" s="11" t="s">
        <v>135</v>
      </c>
      <c r="H118" s="12">
        <v>111</v>
      </c>
    </row>
    <row r="119" spans="7:8" ht="24.95" customHeight="1">
      <c r="G119" s="11" t="s">
        <v>136</v>
      </c>
      <c r="H119" s="12">
        <v>112</v>
      </c>
    </row>
    <row r="120" spans="7:8" ht="24.95" customHeight="1">
      <c r="G120" s="11" t="s">
        <v>137</v>
      </c>
      <c r="H120" s="12">
        <v>113</v>
      </c>
    </row>
    <row r="121" spans="7:8" ht="24.95" customHeight="1">
      <c r="G121" s="11" t="s">
        <v>138</v>
      </c>
      <c r="H121" s="12">
        <v>114</v>
      </c>
    </row>
    <row r="122" spans="7:8" ht="24.95" customHeight="1">
      <c r="G122" s="11" t="s">
        <v>139</v>
      </c>
      <c r="H122" s="12">
        <v>115</v>
      </c>
    </row>
    <row r="123" spans="7:8" ht="24.95" customHeight="1">
      <c r="G123" s="11" t="s">
        <v>140</v>
      </c>
      <c r="H123" s="12">
        <v>116</v>
      </c>
    </row>
    <row r="124" spans="7:8" ht="24.95" customHeight="1">
      <c r="G124" s="11" t="s">
        <v>141</v>
      </c>
      <c r="H124" s="12">
        <v>117</v>
      </c>
    </row>
    <row r="125" spans="7:8" ht="24.95" customHeight="1">
      <c r="G125" s="11" t="s">
        <v>142</v>
      </c>
      <c r="H125" s="12">
        <v>118</v>
      </c>
    </row>
    <row r="126" spans="7:8" ht="24.95" customHeight="1">
      <c r="G126" s="11" t="s">
        <v>143</v>
      </c>
      <c r="H126" s="12">
        <v>119</v>
      </c>
    </row>
    <row r="127" spans="7:8" ht="24.95" customHeight="1">
      <c r="G127" s="11" t="s">
        <v>144</v>
      </c>
      <c r="H127" s="12">
        <v>120</v>
      </c>
    </row>
    <row r="128" spans="7:8" ht="24.95" customHeight="1">
      <c r="G128" s="11" t="s">
        <v>145</v>
      </c>
      <c r="H128" s="12">
        <v>121</v>
      </c>
    </row>
    <row r="129" spans="7:8" ht="24.95" customHeight="1">
      <c r="G129" s="11" t="s">
        <v>146</v>
      </c>
      <c r="H129" s="12">
        <v>122</v>
      </c>
    </row>
    <row r="130" spans="7:8" ht="24.95" customHeight="1">
      <c r="G130" s="11" t="s">
        <v>147</v>
      </c>
      <c r="H130" s="12">
        <v>123</v>
      </c>
    </row>
    <row r="131" spans="7:8" ht="24.95" customHeight="1">
      <c r="G131" s="11" t="s">
        <v>148</v>
      </c>
      <c r="H131" s="12">
        <v>124</v>
      </c>
    </row>
    <row r="132" spans="7:8" ht="24.95" customHeight="1">
      <c r="G132" s="11" t="s">
        <v>149</v>
      </c>
      <c r="H132" s="12">
        <v>125</v>
      </c>
    </row>
    <row r="133" spans="7:8" ht="24.95" customHeight="1">
      <c r="G133" s="11" t="s">
        <v>150</v>
      </c>
      <c r="H133" s="12">
        <v>126</v>
      </c>
    </row>
    <row r="134" spans="7:8" ht="24.95" customHeight="1">
      <c r="G134" s="11" t="s">
        <v>151</v>
      </c>
      <c r="H134" s="12">
        <v>127</v>
      </c>
    </row>
    <row r="135" spans="7:8" ht="24.95" customHeight="1">
      <c r="G135" s="11" t="s">
        <v>152</v>
      </c>
      <c r="H135" s="12">
        <v>128</v>
      </c>
    </row>
    <row r="136" spans="7:8" ht="24.95" customHeight="1">
      <c r="G136" s="11" t="s">
        <v>153</v>
      </c>
      <c r="H136" s="12">
        <v>129</v>
      </c>
    </row>
    <row r="137" spans="7:8" ht="24.95" customHeight="1">
      <c r="G137" s="11" t="s">
        <v>154</v>
      </c>
      <c r="H137" s="12">
        <v>130</v>
      </c>
    </row>
    <row r="138" spans="7:8" ht="24.95" customHeight="1">
      <c r="G138" s="11" t="s">
        <v>155</v>
      </c>
      <c r="H138" s="12">
        <v>131</v>
      </c>
    </row>
    <row r="139" spans="7:8" ht="24.95" customHeight="1">
      <c r="G139" s="11" t="s">
        <v>156</v>
      </c>
      <c r="H139" s="12">
        <v>132</v>
      </c>
    </row>
  </sheetData>
  <sheetProtection algorithmName="SHA-512" hashValue="2hUbYllfFUCvtBlSmHlHWZ3M3yRGf1VBmZkm50Q19g47AnJrG4XSQJK52V9cNVzLZ+mbM/0okXSy7LA4cgMk2A==" saltValue="VkFYjSkStrHcdjAXbzhPDw==" spinCount="100000" sheet="1" objects="1" scenarios="1"/>
  <phoneticPr fontId="2" type="noConversion"/>
  <conditionalFormatting sqref="C5:C15 C21:C50">
    <cfRule type="containsText" dxfId="29" priority="1" operator="containsText" text="V">
      <formula>NOT(ISERROR(SEARCH("V",C5)))</formula>
    </cfRule>
  </conditionalFormatting>
  <pageMargins left="0.7" right="0.7" top="0.75" bottom="0.75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B34"/>
  <sheetViews>
    <sheetView tabSelected="1" workbookViewId="0">
      <selection activeCell="B20" sqref="B20"/>
    </sheetView>
  </sheetViews>
  <sheetFormatPr defaultRowHeight="15.75"/>
  <cols>
    <col min="1" max="1" width="9.140625" customWidth="1"/>
    <col min="2" max="2" width="29.7109375" customWidth="1"/>
    <col min="3" max="3" width="3.85546875" customWidth="1"/>
    <col min="4" max="4" width="0" hidden="1" customWidth="1"/>
    <col min="5" max="5" width="30.42578125" hidden="1" customWidth="1"/>
    <col min="6" max="6" width="16.5703125" style="1" hidden="1" customWidth="1"/>
    <col min="7" max="7" width="16.7109375" style="1" hidden="1" customWidth="1"/>
    <col min="8" max="10" width="0" hidden="1" customWidth="1"/>
    <col min="12" max="12" width="30.42578125" customWidth="1"/>
    <col min="13" max="13" width="16.5703125" style="1" customWidth="1"/>
    <col min="14" max="14" width="16.7109375" style="1" customWidth="1"/>
    <col min="15" max="19" width="0" hidden="1" customWidth="1"/>
    <col min="20" max="20" width="3.140625" customWidth="1"/>
    <col min="22" max="22" width="30.42578125" customWidth="1"/>
    <col min="23" max="23" width="16.5703125" style="1" customWidth="1"/>
    <col min="24" max="24" width="16.7109375" style="1" customWidth="1"/>
    <col min="25" max="29" width="0" hidden="1" customWidth="1"/>
    <col min="30" max="30" width="3.5703125" customWidth="1"/>
    <col min="32" max="32" width="30.42578125" customWidth="1"/>
    <col min="33" max="33" width="16.5703125" style="1" customWidth="1"/>
    <col min="34" max="34" width="16.7109375" style="1" customWidth="1"/>
    <col min="35" max="39" width="0" hidden="1" customWidth="1"/>
    <col min="40" max="40" width="4" customWidth="1"/>
    <col min="42" max="42" width="30.42578125" customWidth="1"/>
    <col min="43" max="43" width="16.5703125" style="1" customWidth="1"/>
    <col min="44" max="44" width="16.7109375" style="1" customWidth="1"/>
    <col min="45" max="49" width="0" hidden="1" customWidth="1"/>
    <col min="50" max="50" width="4.5703125" customWidth="1"/>
    <col min="52" max="52" width="30.42578125" customWidth="1"/>
    <col min="53" max="53" width="16.5703125" style="1" customWidth="1"/>
    <col min="54" max="54" width="16.7109375" style="1" customWidth="1"/>
  </cols>
  <sheetData>
    <row r="1" spans="1:54" ht="36" customHeight="1"/>
    <row r="2" spans="1:54" ht="31.5" customHeight="1">
      <c r="D2" s="40" t="s">
        <v>126</v>
      </c>
      <c r="E2" s="41"/>
      <c r="F2" s="41"/>
      <c r="K2" s="38" t="s">
        <v>126</v>
      </c>
      <c r="L2" s="38"/>
      <c r="M2" s="38"/>
      <c r="U2" s="38" t="s">
        <v>127</v>
      </c>
      <c r="V2" s="38"/>
      <c r="W2" s="38"/>
      <c r="AE2" s="38" t="s">
        <v>128</v>
      </c>
      <c r="AF2" s="38"/>
      <c r="AG2" s="38"/>
      <c r="AO2" s="38" t="s">
        <v>129</v>
      </c>
      <c r="AP2" s="38"/>
      <c r="AQ2" s="38"/>
      <c r="AY2" s="38" t="s">
        <v>130</v>
      </c>
      <c r="AZ2" s="38"/>
      <c r="BA2" s="38"/>
    </row>
    <row r="3" spans="1:54">
      <c r="D3" s="42"/>
      <c r="E3" s="42"/>
      <c r="F3" s="42"/>
      <c r="K3" s="39"/>
      <c r="L3" s="39"/>
      <c r="M3" s="39"/>
      <c r="U3" s="39"/>
      <c r="V3" s="39"/>
      <c r="W3" s="39"/>
      <c r="AE3" s="39"/>
      <c r="AF3" s="39"/>
      <c r="AG3" s="39"/>
      <c r="AO3" s="39"/>
      <c r="AP3" s="39"/>
      <c r="AQ3" s="39"/>
      <c r="AY3" s="39"/>
      <c r="AZ3" s="39"/>
      <c r="BA3" s="39"/>
    </row>
    <row r="4" spans="1:54">
      <c r="A4" s="1"/>
      <c r="B4" s="1"/>
      <c r="C4" s="1"/>
      <c r="D4" s="5" t="s">
        <v>4</v>
      </c>
      <c r="E4" s="5" t="s">
        <v>2</v>
      </c>
      <c r="F4" s="5" t="s">
        <v>3</v>
      </c>
      <c r="G4" s="5" t="s">
        <v>5</v>
      </c>
      <c r="K4" s="5" t="s">
        <v>4</v>
      </c>
      <c r="L4" s="5" t="s">
        <v>2</v>
      </c>
      <c r="M4" s="5" t="s">
        <v>3</v>
      </c>
      <c r="N4" s="5" t="s">
        <v>5</v>
      </c>
      <c r="U4" s="5" t="s">
        <v>4</v>
      </c>
      <c r="V4" s="5" t="s">
        <v>2</v>
      </c>
      <c r="W4" s="5" t="s">
        <v>3</v>
      </c>
      <c r="X4" s="5" t="s">
        <v>5</v>
      </c>
      <c r="AE4" s="5" t="s">
        <v>4</v>
      </c>
      <c r="AF4" s="5" t="s">
        <v>2</v>
      </c>
      <c r="AG4" s="5" t="s">
        <v>3</v>
      </c>
      <c r="AH4" s="5" t="s">
        <v>5</v>
      </c>
      <c r="AO4" s="5" t="s">
        <v>4</v>
      </c>
      <c r="AP4" s="5" t="s">
        <v>2</v>
      </c>
      <c r="AQ4" s="5" t="s">
        <v>3</v>
      </c>
      <c r="AR4" s="5" t="s">
        <v>5</v>
      </c>
      <c r="AY4" s="5" t="s">
        <v>4</v>
      </c>
      <c r="AZ4" s="5" t="s">
        <v>2</v>
      </c>
      <c r="BA4" s="5" t="s">
        <v>3</v>
      </c>
      <c r="BB4" s="5" t="s">
        <v>5</v>
      </c>
    </row>
    <row r="5" spans="1:54">
      <c r="D5" s="4">
        <v>1</v>
      </c>
      <c r="E5" s="14"/>
      <c r="F5" s="15"/>
      <c r="G5" s="22"/>
      <c r="K5" s="4">
        <v>1</v>
      </c>
      <c r="L5" s="14" t="s">
        <v>57</v>
      </c>
      <c r="M5" s="15">
        <f>xFind2(L5,'001'!$G$8:$H$150,1)</f>
        <v>5</v>
      </c>
      <c r="N5" s="22" t="s">
        <v>6</v>
      </c>
      <c r="U5" s="4">
        <v>1</v>
      </c>
      <c r="V5" s="14" t="s">
        <v>57</v>
      </c>
      <c r="W5" s="15">
        <f>xFind2(V5,'001'!$G$8:$H$150,1)</f>
        <v>5</v>
      </c>
      <c r="X5" s="22" t="s">
        <v>6</v>
      </c>
      <c r="AE5" s="4">
        <v>1</v>
      </c>
      <c r="AF5" s="14" t="s">
        <v>57</v>
      </c>
      <c r="AG5" s="15">
        <f>xFind2(AF5,'001'!$G$8:$H$150,1)</f>
        <v>5</v>
      </c>
      <c r="AH5" s="22" t="s">
        <v>7</v>
      </c>
      <c r="AO5" s="4">
        <v>1</v>
      </c>
      <c r="AP5" s="14"/>
      <c r="AQ5" s="15">
        <f>xFind2(AP5,'001'!$G$8:$H$150,1)</f>
        <v>0</v>
      </c>
      <c r="AR5" s="22"/>
      <c r="AY5" s="4">
        <v>1</v>
      </c>
      <c r="AZ5" s="14"/>
      <c r="BA5" s="15">
        <f>xFind2(AZ5,'001'!$G$8:$H$150,1)</f>
        <v>0</v>
      </c>
      <c r="BB5" s="22"/>
    </row>
    <row r="6" spans="1:54">
      <c r="D6" s="4">
        <v>2</v>
      </c>
      <c r="E6" s="18"/>
      <c r="F6" s="15"/>
      <c r="G6" s="22"/>
      <c r="K6" s="4">
        <v>2</v>
      </c>
      <c r="L6" s="14" t="s">
        <v>58</v>
      </c>
      <c r="M6" s="15">
        <f>xFind2(L6,'001'!$G$8:$H$150,1)</f>
        <v>6</v>
      </c>
      <c r="N6" s="22" t="s">
        <v>6</v>
      </c>
      <c r="U6" s="4">
        <v>2</v>
      </c>
      <c r="V6" s="14" t="s">
        <v>58</v>
      </c>
      <c r="W6" s="15">
        <f>xFind2(V6,'001'!$G$8:$H$150,1)</f>
        <v>6</v>
      </c>
      <c r="X6" s="22" t="s">
        <v>7</v>
      </c>
      <c r="AE6" s="4">
        <v>2</v>
      </c>
      <c r="AF6" s="14" t="s">
        <v>58</v>
      </c>
      <c r="AG6" s="15">
        <f>xFind2(AF6,'001'!$G$8:$H$150,1)</f>
        <v>6</v>
      </c>
      <c r="AH6" s="22" t="s">
        <v>6</v>
      </c>
      <c r="AO6" s="4">
        <v>2</v>
      </c>
      <c r="AP6" s="18"/>
      <c r="AQ6" s="15">
        <f>xFind2(AP6,'001'!$G$8:$H$150,1)</f>
        <v>0</v>
      </c>
      <c r="AR6" s="22"/>
      <c r="AY6" s="4">
        <v>2</v>
      </c>
      <c r="AZ6" s="18"/>
      <c r="BA6" s="15">
        <f>xFind2(AZ6,'001'!$G$8:$H$150,1)</f>
        <v>0</v>
      </c>
      <c r="BB6" s="22"/>
    </row>
    <row r="7" spans="1:54">
      <c r="D7" s="4">
        <v>3</v>
      </c>
      <c r="E7" s="16"/>
      <c r="F7" s="15"/>
      <c r="G7" s="22"/>
      <c r="K7" s="4">
        <v>3</v>
      </c>
      <c r="L7" s="14" t="s">
        <v>59</v>
      </c>
      <c r="M7" s="15">
        <f>xFind2(L7,'001'!$G$8:$H$150,1)</f>
        <v>7</v>
      </c>
      <c r="N7" s="22" t="s">
        <v>6</v>
      </c>
      <c r="U7" s="4">
        <v>3</v>
      </c>
      <c r="V7" s="14" t="s">
        <v>59</v>
      </c>
      <c r="W7" s="15">
        <f>xFind2(V7,'001'!$G$8:$H$150,1)</f>
        <v>7</v>
      </c>
      <c r="X7" s="22" t="s">
        <v>7</v>
      </c>
      <c r="AE7" s="4">
        <v>3</v>
      </c>
      <c r="AF7" s="14" t="s">
        <v>59</v>
      </c>
      <c r="AG7" s="15">
        <f>xFind2(AF7,'001'!$G$8:$H$150,1)</f>
        <v>7</v>
      </c>
      <c r="AH7" s="22" t="s">
        <v>7</v>
      </c>
      <c r="AO7" s="4">
        <v>3</v>
      </c>
      <c r="AP7" s="16"/>
      <c r="AQ7" s="15">
        <f>xFind2(AP7,'001'!$G$8:$H$150,1)</f>
        <v>0</v>
      </c>
      <c r="AR7" s="22"/>
      <c r="AY7" s="4">
        <v>3</v>
      </c>
      <c r="AZ7" s="16"/>
      <c r="BA7" s="15">
        <f>xFind2(AZ7,'001'!$G$8:$H$150,1)</f>
        <v>0</v>
      </c>
      <c r="BB7" s="22"/>
    </row>
    <row r="8" spans="1:54">
      <c r="D8" s="4">
        <v>4</v>
      </c>
      <c r="E8" s="16"/>
      <c r="F8" s="15"/>
      <c r="G8" s="22"/>
      <c r="K8" s="4">
        <v>4</v>
      </c>
      <c r="L8" s="14" t="s">
        <v>60</v>
      </c>
      <c r="M8" s="15">
        <f>xFind2(L8,'001'!$G$8:$H$150,1)</f>
        <v>8</v>
      </c>
      <c r="N8" s="22" t="s">
        <v>6</v>
      </c>
      <c r="U8" s="4">
        <v>4</v>
      </c>
      <c r="V8" s="14" t="s">
        <v>60</v>
      </c>
      <c r="W8" s="15">
        <f>xFind2(V8,'001'!$G$8:$H$150,1)</f>
        <v>8</v>
      </c>
      <c r="X8" s="22" t="s">
        <v>7</v>
      </c>
      <c r="AE8" s="4">
        <v>4</v>
      </c>
      <c r="AF8" s="14" t="s">
        <v>60</v>
      </c>
      <c r="AG8" s="15">
        <f>xFind2(AF8,'001'!$G$8:$H$150,1)</f>
        <v>8</v>
      </c>
      <c r="AH8" s="22" t="s">
        <v>7</v>
      </c>
      <c r="AO8" s="4">
        <v>4</v>
      </c>
      <c r="AP8" s="16"/>
      <c r="AQ8" s="15">
        <f>xFind2(AP8,'001'!$G$8:$H$150,1)</f>
        <v>0</v>
      </c>
      <c r="AR8" s="22"/>
      <c r="AY8" s="4">
        <v>4</v>
      </c>
      <c r="AZ8" s="16"/>
      <c r="BA8" s="15">
        <f>xFind2(AZ8,'001'!$G$8:$H$150,1)</f>
        <v>0</v>
      </c>
      <c r="BB8" s="22"/>
    </row>
    <row r="9" spans="1:54">
      <c r="D9" s="4">
        <v>5</v>
      </c>
      <c r="E9" s="19"/>
      <c r="F9" s="15"/>
      <c r="G9" s="22"/>
      <c r="K9" s="4">
        <v>5</v>
      </c>
      <c r="L9" s="14" t="s">
        <v>61</v>
      </c>
      <c r="M9" s="15">
        <f>xFind2(L9,'001'!$G$8:$H$150,1)</f>
        <v>9</v>
      </c>
      <c r="N9" s="22" t="s">
        <v>6</v>
      </c>
      <c r="U9" s="4">
        <v>5</v>
      </c>
      <c r="V9" s="14" t="s">
        <v>61</v>
      </c>
      <c r="W9" s="15">
        <f>xFind2(V9,'001'!$G$8:$H$150,1)</f>
        <v>9</v>
      </c>
      <c r="X9" s="22" t="s">
        <v>7</v>
      </c>
      <c r="AE9" s="4">
        <v>5</v>
      </c>
      <c r="AF9" s="14" t="s">
        <v>61</v>
      </c>
      <c r="AG9" s="15">
        <f>xFind2(AF9,'001'!$G$8:$H$150,1)</f>
        <v>9</v>
      </c>
      <c r="AH9" s="22" t="s">
        <v>7</v>
      </c>
      <c r="AO9" s="4">
        <v>5</v>
      </c>
      <c r="AP9" s="19"/>
      <c r="AQ9" s="15">
        <f>xFind2(AP9,'001'!$G$8:$H$150,1)</f>
        <v>0</v>
      </c>
      <c r="AR9" s="22"/>
      <c r="AY9" s="4">
        <v>5</v>
      </c>
      <c r="AZ9" s="19"/>
      <c r="BA9" s="15">
        <f>xFind2(AZ9,'001'!$G$8:$H$150,1)</f>
        <v>0</v>
      </c>
      <c r="BB9" s="22"/>
    </row>
    <row r="10" spans="1:54">
      <c r="D10" s="4">
        <v>6</v>
      </c>
      <c r="E10" s="19"/>
      <c r="F10" s="15"/>
      <c r="G10" s="22"/>
      <c r="K10" s="4">
        <v>6</v>
      </c>
      <c r="L10" s="14" t="s">
        <v>24</v>
      </c>
      <c r="M10" s="15">
        <f>xFind2(L10,'001'!$G$8:$H$150,1)</f>
        <v>65</v>
      </c>
      <c r="N10" s="22" t="s">
        <v>6</v>
      </c>
      <c r="U10" s="4">
        <v>6</v>
      </c>
      <c r="V10" s="14" t="s">
        <v>24</v>
      </c>
      <c r="W10" s="15">
        <f>xFind2(V10,'001'!$G$8:$H$150,1)</f>
        <v>65</v>
      </c>
      <c r="X10" s="22" t="s">
        <v>6</v>
      </c>
      <c r="AE10" s="4">
        <v>6</v>
      </c>
      <c r="AF10" s="14" t="s">
        <v>24</v>
      </c>
      <c r="AG10" s="15">
        <f>xFind2(AF10,'001'!$G$8:$H$150,1)</f>
        <v>65</v>
      </c>
      <c r="AH10" s="22" t="s">
        <v>7</v>
      </c>
      <c r="AO10" s="4">
        <v>6</v>
      </c>
      <c r="AP10" s="19"/>
      <c r="AQ10" s="15">
        <f>xFind2(AP10,'001'!$G$8:$H$150,1)</f>
        <v>0</v>
      </c>
      <c r="AR10" s="22"/>
      <c r="AY10" s="4">
        <v>6</v>
      </c>
      <c r="AZ10" s="19"/>
      <c r="BA10" s="15">
        <f>xFind2(AZ10,'001'!$G$8:$H$150,1)</f>
        <v>0</v>
      </c>
      <c r="BB10" s="22"/>
    </row>
    <row r="11" spans="1:54">
      <c r="D11" s="4">
        <v>7</v>
      </c>
      <c r="E11" s="19"/>
      <c r="F11" s="15"/>
      <c r="G11" s="22"/>
      <c r="K11" s="4">
        <v>7</v>
      </c>
      <c r="L11" s="14" t="s">
        <v>25</v>
      </c>
      <c r="M11" s="15">
        <f>xFind2(L11,'001'!$G$8:$H$150,1)</f>
        <v>66</v>
      </c>
      <c r="N11" s="22" t="s">
        <v>6</v>
      </c>
      <c r="U11" s="4">
        <v>7</v>
      </c>
      <c r="V11" s="14" t="s">
        <v>25</v>
      </c>
      <c r="W11" s="15">
        <f>xFind2(V11,'001'!$G$8:$H$150,1)</f>
        <v>66</v>
      </c>
      <c r="X11" s="22" t="s">
        <v>7</v>
      </c>
      <c r="AE11" s="4">
        <v>7</v>
      </c>
      <c r="AF11" s="14" t="s">
        <v>25</v>
      </c>
      <c r="AG11" s="15">
        <f>xFind2(AF11,'001'!$G$8:$H$150,1)</f>
        <v>66</v>
      </c>
      <c r="AH11" s="22" t="s">
        <v>6</v>
      </c>
      <c r="AO11" s="4">
        <v>7</v>
      </c>
      <c r="AP11" s="19"/>
      <c r="AQ11" s="15">
        <f>xFind2(AP11,'001'!$G$8:$H$150,1)</f>
        <v>0</v>
      </c>
      <c r="AR11" s="22"/>
      <c r="AY11" s="4">
        <v>7</v>
      </c>
      <c r="AZ11" s="19"/>
      <c r="BA11" s="15">
        <f>xFind2(AZ11,'001'!$G$8:$H$150,1)</f>
        <v>0</v>
      </c>
      <c r="BB11" s="22"/>
    </row>
    <row r="12" spans="1:54">
      <c r="D12" s="4">
        <v>8</v>
      </c>
      <c r="E12" s="19"/>
      <c r="F12" s="15"/>
      <c r="G12" s="22"/>
      <c r="K12" s="4">
        <v>8</v>
      </c>
      <c r="L12" s="14" t="s">
        <v>27</v>
      </c>
      <c r="M12" s="15">
        <f>xFind2(L12,'001'!$G$8:$H$150,1)</f>
        <v>68</v>
      </c>
      <c r="N12" s="22" t="s">
        <v>6</v>
      </c>
      <c r="U12" s="4">
        <v>8</v>
      </c>
      <c r="V12" s="14" t="s">
        <v>27</v>
      </c>
      <c r="W12" s="15">
        <f>xFind2(V12,'001'!$G$8:$H$150,1)</f>
        <v>68</v>
      </c>
      <c r="X12" s="22" t="s">
        <v>7</v>
      </c>
      <c r="AE12" s="4">
        <v>8</v>
      </c>
      <c r="AF12" s="14" t="s">
        <v>27</v>
      </c>
      <c r="AG12" s="15">
        <f>xFind2(AF12,'001'!$G$8:$H$150,1)</f>
        <v>68</v>
      </c>
      <c r="AH12" s="22" t="s">
        <v>7</v>
      </c>
      <c r="AO12" s="4">
        <v>8</v>
      </c>
      <c r="AP12" s="19"/>
      <c r="AQ12" s="15">
        <f>xFind2(AP12,'001'!$G$8:$H$150,1)</f>
        <v>0</v>
      </c>
      <c r="AR12" s="22"/>
      <c r="AY12" s="4">
        <v>8</v>
      </c>
      <c r="AZ12" s="19"/>
      <c r="BA12" s="15">
        <f>xFind2(AZ12,'001'!$G$8:$H$150,1)</f>
        <v>0</v>
      </c>
      <c r="BB12" s="22"/>
    </row>
    <row r="13" spans="1:54">
      <c r="D13" s="4">
        <v>9</v>
      </c>
      <c r="E13" s="19"/>
      <c r="F13" s="15"/>
      <c r="G13" s="22"/>
      <c r="K13" s="4">
        <v>9</v>
      </c>
      <c r="L13" s="14" t="s">
        <v>29</v>
      </c>
      <c r="M13" s="15">
        <f>xFind2(L13,'001'!$G$8:$H$150,1)</f>
        <v>71</v>
      </c>
      <c r="N13" s="22" t="s">
        <v>6</v>
      </c>
      <c r="U13" s="4">
        <v>9</v>
      </c>
      <c r="V13" s="14" t="s">
        <v>29</v>
      </c>
      <c r="W13" s="15">
        <f>xFind2(V13,'001'!$G$8:$H$150,1)</f>
        <v>71</v>
      </c>
      <c r="X13" s="22" t="s">
        <v>6</v>
      </c>
      <c r="AE13" s="4">
        <v>9</v>
      </c>
      <c r="AF13" s="14" t="s">
        <v>29</v>
      </c>
      <c r="AG13" s="15">
        <f>xFind2(AF13,'001'!$G$8:$H$150,1)</f>
        <v>71</v>
      </c>
      <c r="AH13" s="22" t="s">
        <v>6</v>
      </c>
      <c r="AO13" s="4">
        <v>9</v>
      </c>
      <c r="AP13" s="19"/>
      <c r="AQ13" s="15">
        <f>xFind2(AP13,'001'!$G$8:$H$150,1)</f>
        <v>0</v>
      </c>
      <c r="AR13" s="22"/>
      <c r="AY13" s="4">
        <v>9</v>
      </c>
      <c r="AZ13" s="19"/>
      <c r="BA13" s="15">
        <f>xFind2(AZ13,'001'!$G$8:$H$150,1)</f>
        <v>0</v>
      </c>
      <c r="BB13" s="22"/>
    </row>
    <row r="14" spans="1:54">
      <c r="D14" s="4">
        <v>10</v>
      </c>
      <c r="E14" s="19"/>
      <c r="F14" s="15"/>
      <c r="G14" s="22"/>
      <c r="K14" s="4">
        <v>10</v>
      </c>
      <c r="L14" s="14" t="s">
        <v>30</v>
      </c>
      <c r="M14" s="15">
        <f>xFind2(L14,'001'!$G$8:$H$150,1)</f>
        <v>72</v>
      </c>
      <c r="N14" s="22" t="s">
        <v>6</v>
      </c>
      <c r="U14" s="4">
        <v>10</v>
      </c>
      <c r="V14" s="14" t="s">
        <v>30</v>
      </c>
      <c r="W14" s="15">
        <f>xFind2(V14,'001'!$G$8:$H$150,1)</f>
        <v>72</v>
      </c>
      <c r="X14" s="22" t="s">
        <v>7</v>
      </c>
      <c r="AE14" s="4">
        <v>10</v>
      </c>
      <c r="AF14" s="14" t="s">
        <v>30</v>
      </c>
      <c r="AG14" s="15">
        <f>xFind2(AF14,'001'!$G$8:$H$150,1)</f>
        <v>72</v>
      </c>
      <c r="AH14" s="22" t="s">
        <v>7</v>
      </c>
      <c r="AO14" s="4">
        <v>10</v>
      </c>
      <c r="AP14" s="19"/>
      <c r="AQ14" s="15">
        <f>xFind2(AP14,'001'!$G$8:$H$150,1)</f>
        <v>0</v>
      </c>
      <c r="AR14" s="22"/>
      <c r="AY14" s="4">
        <v>10</v>
      </c>
      <c r="AZ14" s="19"/>
      <c r="BA14" s="15">
        <f>xFind2(AZ14,'001'!$G$8:$H$150,1)</f>
        <v>0</v>
      </c>
      <c r="BB14" s="22"/>
    </row>
    <row r="15" spans="1:54">
      <c r="D15" s="4">
        <v>11</v>
      </c>
      <c r="E15" s="19"/>
      <c r="F15" s="15"/>
      <c r="G15" s="22"/>
      <c r="K15" s="4">
        <v>11</v>
      </c>
      <c r="L15" s="14" t="s">
        <v>41</v>
      </c>
      <c r="M15" s="15">
        <f>xFind2(L15,'001'!$G$8:$H$150,1)</f>
        <v>83</v>
      </c>
      <c r="N15" s="22" t="s">
        <v>6</v>
      </c>
      <c r="U15" s="4">
        <v>11</v>
      </c>
      <c r="V15" s="14" t="s">
        <v>41</v>
      </c>
      <c r="W15" s="15">
        <f>xFind2(V15,'001'!$G$8:$H$150,1)</f>
        <v>83</v>
      </c>
      <c r="X15" s="22" t="s">
        <v>157</v>
      </c>
      <c r="AE15" s="4">
        <v>11</v>
      </c>
      <c r="AF15" s="14" t="s">
        <v>41</v>
      </c>
      <c r="AG15" s="15">
        <f>xFind2(AF15,'001'!$G$8:$H$150,1)</f>
        <v>83</v>
      </c>
      <c r="AH15" s="22" t="s">
        <v>7</v>
      </c>
      <c r="AO15" s="4">
        <v>11</v>
      </c>
      <c r="AP15" s="19"/>
      <c r="AQ15" s="15">
        <f>xFind2(AP15,'001'!$G$8:$H$150,1)</f>
        <v>0</v>
      </c>
      <c r="AR15" s="22"/>
      <c r="AY15" s="4">
        <v>11</v>
      </c>
      <c r="AZ15" s="19"/>
      <c r="BA15" s="15">
        <f>xFind2(AZ15,'001'!$G$8:$H$150,1)</f>
        <v>0</v>
      </c>
      <c r="BB15" s="22"/>
    </row>
    <row r="16" spans="1:54">
      <c r="D16" s="4">
        <v>12</v>
      </c>
      <c r="E16" s="19"/>
      <c r="F16" s="15"/>
      <c r="G16" s="22"/>
      <c r="K16" s="4">
        <v>12</v>
      </c>
      <c r="L16" s="14" t="s">
        <v>42</v>
      </c>
      <c r="M16" s="15">
        <f>xFind2(L16,'001'!$G$8:$H$150,1)</f>
        <v>84</v>
      </c>
      <c r="N16" s="22" t="s">
        <v>6</v>
      </c>
      <c r="U16" s="4">
        <v>12</v>
      </c>
      <c r="V16" s="14" t="s">
        <v>42</v>
      </c>
      <c r="W16" s="15">
        <f>xFind2(V16,'001'!$G$8:$H$150,1)</f>
        <v>84</v>
      </c>
      <c r="X16" s="22" t="s">
        <v>158</v>
      </c>
      <c r="AE16" s="4">
        <v>12</v>
      </c>
      <c r="AF16" s="14" t="s">
        <v>42</v>
      </c>
      <c r="AG16" s="15">
        <f>xFind2(AF16,'001'!$G$8:$H$150,1)</f>
        <v>84</v>
      </c>
      <c r="AH16" s="22" t="s">
        <v>6</v>
      </c>
      <c r="AO16" s="4">
        <v>12</v>
      </c>
      <c r="AP16" s="19"/>
      <c r="AQ16" s="15">
        <f>xFind2(AP16,'001'!$G$8:$H$150,1)</f>
        <v>0</v>
      </c>
      <c r="AR16" s="22"/>
      <c r="AY16" s="4">
        <v>12</v>
      </c>
      <c r="AZ16" s="19"/>
      <c r="BA16" s="15">
        <f>xFind2(AZ16,'001'!$G$8:$H$150,1)</f>
        <v>0</v>
      </c>
      <c r="BB16" s="22"/>
    </row>
    <row r="17" spans="4:54">
      <c r="D17" s="4">
        <v>13</v>
      </c>
      <c r="E17" s="19"/>
      <c r="F17" s="15"/>
      <c r="G17" s="22"/>
      <c r="K17" s="4">
        <v>13</v>
      </c>
      <c r="L17" s="14" t="s">
        <v>44</v>
      </c>
      <c r="M17" s="15">
        <f>xFind2(L17,'001'!$G$8:$H$150,1)</f>
        <v>85</v>
      </c>
      <c r="N17" s="22" t="s">
        <v>6</v>
      </c>
      <c r="U17" s="4">
        <v>13</v>
      </c>
      <c r="V17" s="14" t="s">
        <v>44</v>
      </c>
      <c r="W17" s="15">
        <f>xFind2(V17,'001'!$G$8:$H$150,1)</f>
        <v>85</v>
      </c>
      <c r="X17" s="22" t="s">
        <v>7</v>
      </c>
      <c r="AE17" s="4">
        <v>13</v>
      </c>
      <c r="AF17" s="14" t="s">
        <v>44</v>
      </c>
      <c r="AG17" s="15">
        <f>xFind2(AF17,'001'!$G$8:$H$150,1)</f>
        <v>85</v>
      </c>
      <c r="AH17" s="22" t="s">
        <v>7</v>
      </c>
      <c r="AO17" s="4">
        <v>13</v>
      </c>
      <c r="AP17" s="19"/>
      <c r="AQ17" s="15">
        <f>xFind2(AP17,'001'!$G$8:$H$150,1)</f>
        <v>0</v>
      </c>
      <c r="AR17" s="22"/>
      <c r="AY17" s="4">
        <v>13</v>
      </c>
      <c r="AZ17" s="19"/>
      <c r="BA17" s="15">
        <f>xFind2(AZ17,'001'!$G$8:$H$150,1)</f>
        <v>0</v>
      </c>
      <c r="BB17" s="22"/>
    </row>
    <row r="18" spans="4:54">
      <c r="D18" s="4">
        <v>14</v>
      </c>
      <c r="E18" s="19"/>
      <c r="F18" s="15"/>
      <c r="G18" s="22"/>
      <c r="K18" s="4">
        <v>14</v>
      </c>
      <c r="L18" s="14" t="s">
        <v>43</v>
      </c>
      <c r="M18" s="15">
        <f>xFind2(L18,'001'!$G$8:$H$150,1)</f>
        <v>85</v>
      </c>
      <c r="N18" s="22" t="s">
        <v>6</v>
      </c>
      <c r="U18" s="4">
        <v>14</v>
      </c>
      <c r="V18" s="14" t="s">
        <v>43</v>
      </c>
      <c r="W18" s="15">
        <f>xFind2(V18,'001'!$G$8:$H$150,1)</f>
        <v>85</v>
      </c>
      <c r="X18" s="22" t="s">
        <v>7</v>
      </c>
      <c r="AE18" s="4">
        <v>14</v>
      </c>
      <c r="AF18" s="14" t="s">
        <v>43</v>
      </c>
      <c r="AG18" s="15">
        <f>xFind2(AF18,'001'!$G$8:$H$150,1)</f>
        <v>85</v>
      </c>
      <c r="AH18" s="22" t="s">
        <v>7</v>
      </c>
      <c r="AO18" s="4">
        <v>14</v>
      </c>
      <c r="AP18" s="19"/>
      <c r="AQ18" s="15">
        <f>xFind2(AP18,'001'!$G$8:$H$150,1)</f>
        <v>0</v>
      </c>
      <c r="AR18" s="22"/>
      <c r="AY18" s="4">
        <v>14</v>
      </c>
      <c r="AZ18" s="19"/>
      <c r="BA18" s="15">
        <f>xFind2(AZ18,'001'!$G$8:$H$150,1)</f>
        <v>0</v>
      </c>
      <c r="BB18" s="22"/>
    </row>
    <row r="19" spans="4:54">
      <c r="D19" s="4">
        <v>15</v>
      </c>
      <c r="E19" s="19"/>
      <c r="F19" s="15"/>
      <c r="G19" s="22"/>
      <c r="K19" s="4">
        <v>15</v>
      </c>
      <c r="L19" s="14" t="s">
        <v>118</v>
      </c>
      <c r="M19" s="15">
        <f>xFind2(L19,'001'!$G$8:$H$150,1)</f>
        <v>90</v>
      </c>
      <c r="N19" s="22" t="s">
        <v>6</v>
      </c>
      <c r="U19" s="4">
        <v>15</v>
      </c>
      <c r="V19" s="14" t="s">
        <v>118</v>
      </c>
      <c r="W19" s="15">
        <f>xFind2(V19,'001'!$G$8:$H$150,1)</f>
        <v>90</v>
      </c>
      <c r="X19" s="22" t="s">
        <v>160</v>
      </c>
      <c r="AE19" s="4">
        <v>15</v>
      </c>
      <c r="AF19" s="14" t="s">
        <v>118</v>
      </c>
      <c r="AG19" s="15">
        <f>xFind2(AF19,'001'!$G$8:$H$150,1)</f>
        <v>90</v>
      </c>
      <c r="AH19" s="22" t="s">
        <v>6</v>
      </c>
      <c r="AO19" s="4">
        <v>15</v>
      </c>
      <c r="AP19" s="19"/>
      <c r="AQ19" s="15">
        <f>xFind2(AP19,'001'!$G$8:$H$150,1)</f>
        <v>0</v>
      </c>
      <c r="AR19" s="22"/>
      <c r="AY19" s="4">
        <v>15</v>
      </c>
      <c r="AZ19" s="19"/>
      <c r="BA19" s="15">
        <f>xFind2(AZ19,'001'!$G$8:$H$150,1)</f>
        <v>0</v>
      </c>
      <c r="BB19" s="22"/>
    </row>
    <row r="20" spans="4:54">
      <c r="D20" s="4">
        <v>16</v>
      </c>
      <c r="E20" s="19"/>
      <c r="F20" s="15"/>
      <c r="G20" s="22"/>
      <c r="K20" s="4">
        <v>16</v>
      </c>
      <c r="L20" s="14" t="s">
        <v>119</v>
      </c>
      <c r="M20" s="15">
        <f>xFind2(L20,'001'!$G$8:$H$150,1)</f>
        <v>91</v>
      </c>
      <c r="N20" s="22" t="s">
        <v>6</v>
      </c>
      <c r="U20" s="4">
        <v>16</v>
      </c>
      <c r="V20" s="14" t="s">
        <v>119</v>
      </c>
      <c r="W20" s="15">
        <f>xFind2(V20,'001'!$G$8:$H$150,1)</f>
        <v>91</v>
      </c>
      <c r="X20" s="22" t="s">
        <v>7</v>
      </c>
      <c r="AE20" s="4">
        <v>16</v>
      </c>
      <c r="AF20" s="14" t="s">
        <v>119</v>
      </c>
      <c r="AG20" s="15">
        <f>xFind2(AF20,'001'!$G$8:$H$150,1)</f>
        <v>91</v>
      </c>
      <c r="AH20" s="22" t="s">
        <v>6</v>
      </c>
      <c r="AO20" s="4">
        <v>16</v>
      </c>
      <c r="AP20" s="19"/>
      <c r="AQ20" s="15">
        <f>xFind2(AP20,'001'!$G$8:$H$150,1)</f>
        <v>0</v>
      </c>
      <c r="AR20" s="22"/>
      <c r="AY20" s="4">
        <v>16</v>
      </c>
      <c r="AZ20" s="19"/>
      <c r="BA20" s="15">
        <f>xFind2(AZ20,'001'!$G$8:$H$150,1)</f>
        <v>0</v>
      </c>
      <c r="BB20" s="22"/>
    </row>
    <row r="21" spans="4:54">
      <c r="D21" s="4">
        <v>17</v>
      </c>
      <c r="E21" s="19"/>
      <c r="F21" s="15"/>
      <c r="G21" s="22"/>
      <c r="K21" s="4">
        <v>17</v>
      </c>
      <c r="L21" s="14" t="s">
        <v>120</v>
      </c>
      <c r="M21" s="15">
        <f>xFind2(L21,'001'!$G$8:$H$150,1)</f>
        <v>92</v>
      </c>
      <c r="N21" s="22" t="s">
        <v>6</v>
      </c>
      <c r="U21" s="4">
        <v>17</v>
      </c>
      <c r="V21" s="14" t="s">
        <v>120</v>
      </c>
      <c r="W21" s="15">
        <f>xFind2(V21,'001'!$G$8:$H$150,1)</f>
        <v>92</v>
      </c>
      <c r="X21" s="22" t="s">
        <v>7</v>
      </c>
      <c r="AE21" s="4">
        <v>17</v>
      </c>
      <c r="AF21" s="14" t="s">
        <v>120</v>
      </c>
      <c r="AG21" s="15">
        <f>xFind2(AF21,'001'!$G$8:$H$150,1)</f>
        <v>92</v>
      </c>
      <c r="AH21" s="22" t="s">
        <v>6</v>
      </c>
      <c r="AO21" s="4">
        <v>17</v>
      </c>
      <c r="AP21" s="19"/>
      <c r="AQ21" s="15">
        <f>xFind2(AP21,'001'!$G$8:$H$150,1)</f>
        <v>0</v>
      </c>
      <c r="AR21" s="22"/>
      <c r="AY21" s="4">
        <v>17</v>
      </c>
      <c r="AZ21" s="19"/>
      <c r="BA21" s="15">
        <f>xFind2(AZ21,'001'!$G$8:$H$150,1)</f>
        <v>0</v>
      </c>
      <c r="BB21" s="22"/>
    </row>
    <row r="22" spans="4:54">
      <c r="D22" s="4">
        <v>18</v>
      </c>
      <c r="E22" s="19"/>
      <c r="F22" s="15"/>
      <c r="G22" s="22"/>
      <c r="K22" s="4">
        <v>18</v>
      </c>
      <c r="L22" s="14" t="s">
        <v>121</v>
      </c>
      <c r="M22" s="15">
        <f>xFind2(L22,'001'!$G$8:$H$150,1)</f>
        <v>93</v>
      </c>
      <c r="N22" s="22" t="s">
        <v>6</v>
      </c>
      <c r="U22" s="4">
        <v>18</v>
      </c>
      <c r="V22" s="14" t="s">
        <v>121</v>
      </c>
      <c r="W22" s="15">
        <f>xFind2(V22,'001'!$G$8:$H$150,1)</f>
        <v>93</v>
      </c>
      <c r="X22" s="22" t="s">
        <v>7</v>
      </c>
      <c r="AE22" s="4">
        <v>18</v>
      </c>
      <c r="AF22" s="14" t="s">
        <v>121</v>
      </c>
      <c r="AG22" s="15">
        <f>xFind2(AF22,'001'!$G$8:$H$150,1)</f>
        <v>93</v>
      </c>
      <c r="AH22" s="22" t="s">
        <v>7</v>
      </c>
      <c r="AO22" s="4">
        <v>18</v>
      </c>
      <c r="AP22" s="19"/>
      <c r="AQ22" s="15">
        <f>xFind2(AP22,'001'!$G$8:$H$150,1)</f>
        <v>0</v>
      </c>
      <c r="AR22" s="22"/>
      <c r="AY22" s="4">
        <v>18</v>
      </c>
      <c r="AZ22" s="19"/>
      <c r="BA22" s="15">
        <f>xFind2(AZ22,'001'!$G$8:$H$150,1)</f>
        <v>0</v>
      </c>
      <c r="BB22" s="22"/>
    </row>
    <row r="23" spans="4:54">
      <c r="D23" s="4">
        <v>19</v>
      </c>
      <c r="E23" s="19"/>
      <c r="F23" s="15"/>
      <c r="G23" s="22"/>
      <c r="K23" s="4">
        <v>19</v>
      </c>
      <c r="L23" s="14" t="s">
        <v>47</v>
      </c>
      <c r="M23" s="15">
        <f>xFind2(L23,'001'!$G$8:$H$150,1)</f>
        <v>94</v>
      </c>
      <c r="N23" s="22" t="s">
        <v>6</v>
      </c>
      <c r="U23" s="4">
        <v>19</v>
      </c>
      <c r="V23" s="14" t="s">
        <v>47</v>
      </c>
      <c r="W23" s="15">
        <f>xFind2(V23,'001'!$G$8:$H$150,1)</f>
        <v>94</v>
      </c>
      <c r="X23" s="22" t="s">
        <v>7</v>
      </c>
      <c r="AE23" s="4">
        <v>19</v>
      </c>
      <c r="AF23" s="14" t="s">
        <v>47</v>
      </c>
      <c r="AG23" s="15">
        <f>xFind2(AF23,'001'!$G$8:$H$150,1)</f>
        <v>94</v>
      </c>
      <c r="AH23" s="22" t="s">
        <v>7</v>
      </c>
      <c r="AO23" s="4">
        <v>19</v>
      </c>
      <c r="AP23" s="19"/>
      <c r="AQ23" s="15">
        <f>xFind2(AP23,'001'!$G$8:$H$150,1)</f>
        <v>0</v>
      </c>
      <c r="AR23" s="22"/>
      <c r="AY23" s="4">
        <v>19</v>
      </c>
      <c r="AZ23" s="19"/>
      <c r="BA23" s="15">
        <f>xFind2(AZ23,'001'!$G$8:$H$150,1)</f>
        <v>0</v>
      </c>
      <c r="BB23" s="22"/>
    </row>
    <row r="24" spans="4:54">
      <c r="D24" s="4">
        <v>20</v>
      </c>
      <c r="E24" s="19"/>
      <c r="F24" s="15"/>
      <c r="G24" s="21"/>
      <c r="K24" s="4">
        <v>20</v>
      </c>
      <c r="L24" s="14" t="s">
        <v>48</v>
      </c>
      <c r="M24" s="15">
        <f>xFind2(L24,'001'!$G$8:$H$150,1)</f>
        <v>95</v>
      </c>
      <c r="N24" s="22" t="s">
        <v>6</v>
      </c>
      <c r="U24" s="4">
        <v>20</v>
      </c>
      <c r="V24" s="14" t="s">
        <v>48</v>
      </c>
      <c r="W24" s="15">
        <f>xFind2(V24,'001'!$G$8:$H$150,1)</f>
        <v>95</v>
      </c>
      <c r="X24" s="22" t="s">
        <v>7</v>
      </c>
      <c r="AE24" s="4">
        <v>20</v>
      </c>
      <c r="AF24" s="14" t="s">
        <v>48</v>
      </c>
      <c r="AG24" s="15">
        <f>xFind2(AF24,'001'!$G$8:$H$150,1)</f>
        <v>95</v>
      </c>
      <c r="AH24" s="22" t="s">
        <v>7</v>
      </c>
      <c r="AO24" s="4">
        <v>20</v>
      </c>
      <c r="AP24" s="19"/>
      <c r="AQ24" s="15">
        <f>xFind2(AP24,'001'!$G$8:$H$150,1)</f>
        <v>0</v>
      </c>
      <c r="AR24" s="21"/>
      <c r="AY24" s="4">
        <v>20</v>
      </c>
      <c r="AZ24" s="19"/>
      <c r="BA24" s="15">
        <f>xFind2(AZ24,'001'!$G$8:$H$150,1)</f>
        <v>0</v>
      </c>
      <c r="BB24" s="21"/>
    </row>
    <row r="25" spans="4:54">
      <c r="D25" s="4">
        <v>21</v>
      </c>
      <c r="E25" s="19"/>
      <c r="F25" s="15"/>
      <c r="G25" s="21"/>
      <c r="K25" s="4">
        <v>21</v>
      </c>
      <c r="L25" s="14" t="s">
        <v>49</v>
      </c>
      <c r="M25" s="15">
        <f>xFind2(L25,'001'!$G$8:$H$150,1)</f>
        <v>96</v>
      </c>
      <c r="N25" s="22" t="s">
        <v>6</v>
      </c>
      <c r="U25" s="4">
        <v>21</v>
      </c>
      <c r="V25" s="14" t="s">
        <v>49</v>
      </c>
      <c r="W25" s="15">
        <f>xFind2(V25,'001'!$G$8:$H$150,1)</f>
        <v>96</v>
      </c>
      <c r="X25" s="22" t="s">
        <v>7</v>
      </c>
      <c r="AE25" s="4">
        <v>21</v>
      </c>
      <c r="AF25" s="14" t="s">
        <v>49</v>
      </c>
      <c r="AG25" s="15">
        <f>xFind2(AF25,'001'!$G$8:$H$150,1)</f>
        <v>96</v>
      </c>
      <c r="AH25" s="22" t="s">
        <v>7</v>
      </c>
      <c r="AO25" s="4">
        <v>21</v>
      </c>
      <c r="AP25" s="19"/>
      <c r="AQ25" s="15">
        <f>xFind2(AP25,'001'!$G$8:$H$150,1)</f>
        <v>0</v>
      </c>
      <c r="AR25" s="21"/>
      <c r="AY25" s="4">
        <v>21</v>
      </c>
      <c r="AZ25" s="19"/>
      <c r="BA25" s="15">
        <f>xFind2(AZ25,'001'!$G$8:$H$150,1)</f>
        <v>0</v>
      </c>
      <c r="BB25" s="21"/>
    </row>
    <row r="26" spans="4:54">
      <c r="D26" s="4">
        <v>22</v>
      </c>
      <c r="E26" s="19"/>
      <c r="F26" s="15"/>
      <c r="G26" s="21"/>
      <c r="K26" s="4">
        <v>22</v>
      </c>
      <c r="L26" s="14" t="s">
        <v>122</v>
      </c>
      <c r="M26" s="15">
        <f>xFind2(L26,'001'!$G$8:$H$150,1)</f>
        <v>97</v>
      </c>
      <c r="N26" s="22" t="s">
        <v>6</v>
      </c>
      <c r="U26" s="4">
        <v>22</v>
      </c>
      <c r="V26" s="14" t="s">
        <v>122</v>
      </c>
      <c r="W26" s="15">
        <f>xFind2(V26,'001'!$G$8:$H$150,1)</f>
        <v>97</v>
      </c>
      <c r="X26" s="22" t="s">
        <v>161</v>
      </c>
      <c r="AE26" s="4">
        <v>22</v>
      </c>
      <c r="AF26" s="14" t="s">
        <v>122</v>
      </c>
      <c r="AG26" s="15">
        <f>xFind2(AF26,'001'!$G$8:$H$150,1)</f>
        <v>97</v>
      </c>
      <c r="AH26" s="22" t="s">
        <v>7</v>
      </c>
      <c r="AO26" s="4">
        <v>22</v>
      </c>
      <c r="AP26" s="19"/>
      <c r="AQ26" s="15">
        <f>xFind2(AP26,'001'!$G$8:$H$150,1)</f>
        <v>0</v>
      </c>
      <c r="AR26" s="21"/>
      <c r="AY26" s="4">
        <v>22</v>
      </c>
      <c r="AZ26" s="19"/>
      <c r="BA26" s="15">
        <f>xFind2(AZ26,'001'!$G$8:$H$150,1)</f>
        <v>0</v>
      </c>
      <c r="BB26" s="21"/>
    </row>
    <row r="27" spans="4:54">
      <c r="D27" s="4">
        <v>23</v>
      </c>
      <c r="E27" s="20"/>
      <c r="F27" s="15"/>
      <c r="G27" s="21"/>
      <c r="K27" s="4">
        <v>23</v>
      </c>
      <c r="L27" s="14" t="s">
        <v>124</v>
      </c>
      <c r="M27" s="15">
        <f>xFind2(L27,'001'!$G$8:$H$150,1)</f>
        <v>101</v>
      </c>
      <c r="N27" s="22" t="s">
        <v>6</v>
      </c>
      <c r="U27" s="4">
        <v>23</v>
      </c>
      <c r="V27" s="14" t="s">
        <v>124</v>
      </c>
      <c r="W27" s="15">
        <f>xFind2(V27,'001'!$G$8:$H$150,1)</f>
        <v>101</v>
      </c>
      <c r="X27" s="22" t="s">
        <v>7</v>
      </c>
      <c r="AE27" s="4">
        <v>23</v>
      </c>
      <c r="AF27" s="14" t="s">
        <v>124</v>
      </c>
      <c r="AG27" s="15">
        <f>xFind2(AF27,'001'!$G$8:$H$150,1)</f>
        <v>101</v>
      </c>
      <c r="AH27" s="22" t="s">
        <v>7</v>
      </c>
      <c r="AO27" s="4">
        <v>23</v>
      </c>
      <c r="AP27" s="20"/>
      <c r="AQ27" s="15">
        <f>xFind2(AP27,'001'!$G$8:$H$150,1)</f>
        <v>0</v>
      </c>
      <c r="AR27" s="21"/>
      <c r="AY27" s="4">
        <v>23</v>
      </c>
      <c r="AZ27" s="20"/>
      <c r="BA27" s="15">
        <f>xFind2(AZ27,'001'!$G$8:$H$150,1)</f>
        <v>0</v>
      </c>
      <c r="BB27" s="21"/>
    </row>
    <row r="28" spans="4:54">
      <c r="D28" s="4">
        <v>24</v>
      </c>
      <c r="E28" s="20"/>
      <c r="F28" s="15"/>
      <c r="G28" s="21"/>
      <c r="K28" s="4">
        <v>24</v>
      </c>
      <c r="L28" s="14" t="s">
        <v>55</v>
      </c>
      <c r="M28" s="15">
        <f>xFind2(L28,'001'!$G$8:$H$150,1)</f>
        <v>105</v>
      </c>
      <c r="N28" s="22" t="s">
        <v>6</v>
      </c>
      <c r="U28" s="4">
        <v>24</v>
      </c>
      <c r="V28" s="14" t="s">
        <v>55</v>
      </c>
      <c r="W28" s="15">
        <f>xFind2(V28,'001'!$G$8:$H$150,1)</f>
        <v>105</v>
      </c>
      <c r="X28" s="22" t="s">
        <v>6</v>
      </c>
      <c r="AE28" s="4">
        <v>24</v>
      </c>
      <c r="AF28" s="14" t="s">
        <v>55</v>
      </c>
      <c r="AG28" s="15">
        <f>xFind2(AF28,'001'!$G$8:$H$150,1)</f>
        <v>105</v>
      </c>
      <c r="AH28" s="22" t="s">
        <v>7</v>
      </c>
      <c r="AO28" s="4">
        <v>24</v>
      </c>
      <c r="AP28" s="20"/>
      <c r="AQ28" s="15">
        <f>xFind2(AP28,'001'!$G$8:$H$150,1)</f>
        <v>0</v>
      </c>
      <c r="AR28" s="21"/>
      <c r="AY28" s="4">
        <v>24</v>
      </c>
      <c r="AZ28" s="20"/>
      <c r="BA28" s="15">
        <f>xFind2(AZ28,'001'!$G$8:$H$150,1)</f>
        <v>0</v>
      </c>
      <c r="BB28" s="21"/>
    </row>
    <row r="29" spans="4:54">
      <c r="D29" s="4">
        <v>25</v>
      </c>
      <c r="E29" s="20"/>
      <c r="F29" s="15" t="str">
        <f>_xlfn.IFNA(VLOOKUP(E29,'001'!$G$8:$H$117,2,FALSE),"")</f>
        <v/>
      </c>
      <c r="G29" s="21"/>
      <c r="K29" s="4">
        <v>25</v>
      </c>
      <c r="L29" s="14" t="s">
        <v>56</v>
      </c>
      <c r="M29" s="15">
        <f>xFind2(L29,'001'!$G$8:$H$150,1)</f>
        <v>106</v>
      </c>
      <c r="N29" s="22" t="s">
        <v>6</v>
      </c>
      <c r="U29" s="4">
        <v>25</v>
      </c>
      <c r="V29" s="14" t="s">
        <v>56</v>
      </c>
      <c r="W29" s="15">
        <f>xFind2(V29,'001'!$G$8:$H$150,1)</f>
        <v>106</v>
      </c>
      <c r="X29" s="22" t="s">
        <v>7</v>
      </c>
      <c r="AE29" s="4">
        <v>25</v>
      </c>
      <c r="AF29" s="14" t="s">
        <v>56</v>
      </c>
      <c r="AG29" s="15">
        <f>xFind2(AF29,'001'!$G$8:$H$150,1)</f>
        <v>106</v>
      </c>
      <c r="AH29" s="22" t="s">
        <v>7</v>
      </c>
      <c r="AO29" s="4">
        <v>25</v>
      </c>
      <c r="AP29" s="20"/>
      <c r="AQ29" s="15">
        <f>xFind2(AP29,'001'!$G$8:$H$150,1)</f>
        <v>0</v>
      </c>
      <c r="AR29" s="21"/>
      <c r="AY29" s="4">
        <v>25</v>
      </c>
      <c r="AZ29" s="20"/>
      <c r="BA29" s="15">
        <f>xFind2(AZ29,'001'!$G$8:$H$150,1)</f>
        <v>0</v>
      </c>
      <c r="BB29" s="21"/>
    </row>
    <row r="30" spans="4:54">
      <c r="D30" s="4">
        <v>26</v>
      </c>
      <c r="E30" s="20"/>
      <c r="F30" s="15" t="str">
        <f>_xlfn.IFNA(VLOOKUP(E30,'001'!$G$8:$H$117,2,FALSE),"")</f>
        <v/>
      </c>
      <c r="G30" s="21"/>
      <c r="K30" s="4">
        <v>26</v>
      </c>
      <c r="L30" s="14" t="s">
        <v>136</v>
      </c>
      <c r="M30" s="15">
        <f>xFind2(L30,'001'!$G$8:$H$150,1)</f>
        <v>112</v>
      </c>
      <c r="N30" s="22" t="s">
        <v>6</v>
      </c>
      <c r="U30" s="4">
        <v>26</v>
      </c>
      <c r="V30" s="14" t="s">
        <v>136</v>
      </c>
      <c r="W30" s="15">
        <f>xFind2(V30,'001'!$G$8:$H$150,1)</f>
        <v>112</v>
      </c>
      <c r="X30" s="22" t="s">
        <v>6</v>
      </c>
      <c r="AE30" s="4">
        <v>26</v>
      </c>
      <c r="AF30" s="14" t="s">
        <v>136</v>
      </c>
      <c r="AG30" s="15">
        <f>xFind2(AF30,'001'!$G$8:$H$150,1)</f>
        <v>112</v>
      </c>
      <c r="AH30" s="22" t="s">
        <v>157</v>
      </c>
      <c r="AO30" s="4">
        <v>26</v>
      </c>
      <c r="AP30" s="20"/>
      <c r="AQ30" s="15">
        <f>xFind2(AP30,'001'!$G$8:$H$150,1)</f>
        <v>0</v>
      </c>
      <c r="AR30" s="21"/>
      <c r="AY30" s="4">
        <v>26</v>
      </c>
      <c r="AZ30" s="20"/>
      <c r="BA30" s="15">
        <f>xFind2(AZ30,'001'!$G$8:$H$150,1)</f>
        <v>0</v>
      </c>
      <c r="BB30" s="21"/>
    </row>
    <row r="31" spans="4:54">
      <c r="D31" s="4">
        <v>27</v>
      </c>
      <c r="E31" s="20"/>
      <c r="F31" s="15" t="str">
        <f>_xlfn.IFNA(VLOOKUP(E31,'001'!$G$8:$H$117,2,FALSE),"")</f>
        <v/>
      </c>
      <c r="G31" s="21"/>
      <c r="K31" s="4">
        <v>27</v>
      </c>
      <c r="L31" s="14"/>
      <c r="M31" s="15">
        <f>xFind2(L31,'001'!$G$8:$H$150,1)</f>
        <v>0</v>
      </c>
      <c r="N31" s="21"/>
      <c r="U31" s="4">
        <v>27</v>
      </c>
      <c r="V31" s="14"/>
      <c r="W31" s="15">
        <f>xFind2(V31,'001'!$G$8:$H$150,1)</f>
        <v>0</v>
      </c>
      <c r="X31" s="21"/>
      <c r="AE31" s="4">
        <v>27</v>
      </c>
      <c r="AF31" s="20"/>
      <c r="AG31" s="15">
        <f>xFind2(AF31,'001'!$G$8:$H$150,1)</f>
        <v>0</v>
      </c>
      <c r="AH31" s="21"/>
      <c r="AO31" s="4">
        <v>27</v>
      </c>
      <c r="AP31" s="20"/>
      <c r="AQ31" s="15">
        <f>xFind2(AP31,'001'!$G$8:$H$150,1)</f>
        <v>0</v>
      </c>
      <c r="AR31" s="21"/>
      <c r="AY31" s="4">
        <v>27</v>
      </c>
      <c r="AZ31" s="20"/>
      <c r="BA31" s="15">
        <f>xFind2(AZ31,'001'!$G$8:$H$150,1)</f>
        <v>0</v>
      </c>
      <c r="BB31" s="21"/>
    </row>
    <row r="32" spans="4:54">
      <c r="D32" s="4">
        <v>28</v>
      </c>
      <c r="E32" s="20"/>
      <c r="F32" s="15" t="str">
        <f>_xlfn.IFNA(VLOOKUP(E32,'001'!$G$8:$H$117,2,FALSE),"")</f>
        <v/>
      </c>
      <c r="G32" s="21"/>
      <c r="K32" s="4">
        <v>28</v>
      </c>
      <c r="L32" s="14"/>
      <c r="M32" s="15">
        <f>xFind2(L32,'001'!$G$8:$H$150,1)</f>
        <v>0</v>
      </c>
      <c r="N32" s="21"/>
      <c r="U32" s="4">
        <v>28</v>
      </c>
      <c r="V32" s="14"/>
      <c r="W32" s="15">
        <f>xFind2(V32,'001'!$G$8:$H$150,1)</f>
        <v>0</v>
      </c>
      <c r="X32" s="21"/>
      <c r="AE32" s="4">
        <v>28</v>
      </c>
      <c r="AF32" s="20"/>
      <c r="AG32" s="15">
        <f>xFind2(AF32,'001'!$G$8:$H$150,1)</f>
        <v>0</v>
      </c>
      <c r="AH32" s="21" t="s">
        <v>158</v>
      </c>
      <c r="AO32" s="4">
        <v>28</v>
      </c>
      <c r="AP32" s="20"/>
      <c r="AQ32" s="15">
        <f>xFind2(AP32,'001'!$G$8:$H$150,1)</f>
        <v>0</v>
      </c>
      <c r="AR32" s="21"/>
      <c r="AY32" s="4">
        <v>28</v>
      </c>
      <c r="AZ32" s="20"/>
      <c r="BA32" s="15">
        <f>xFind2(AZ32,'001'!$G$8:$H$150,1)</f>
        <v>0</v>
      </c>
      <c r="BB32" s="21"/>
    </row>
    <row r="33" spans="4:54">
      <c r="D33" s="4">
        <v>29</v>
      </c>
      <c r="E33" s="20"/>
      <c r="F33" s="15" t="str">
        <f>_xlfn.IFNA(VLOOKUP(E33,'001'!$G$8:$H$117,2,FALSE),"")</f>
        <v/>
      </c>
      <c r="G33" s="21"/>
      <c r="K33" s="4">
        <v>29</v>
      </c>
      <c r="L33" s="14"/>
      <c r="M33" s="15">
        <f>xFind2(L33,'001'!$G$8:$H$150,1)</f>
        <v>0</v>
      </c>
      <c r="N33" s="21"/>
      <c r="U33" s="4">
        <v>29</v>
      </c>
      <c r="V33" s="14"/>
      <c r="W33" s="15">
        <f>xFind2(V33,'001'!$G$8:$H$150,1)</f>
        <v>0</v>
      </c>
      <c r="X33" s="21"/>
      <c r="AE33" s="4">
        <v>29</v>
      </c>
      <c r="AF33" s="20"/>
      <c r="AG33" s="15">
        <f>xFind2(AF33,'001'!$G$8:$H$150,1)</f>
        <v>0</v>
      </c>
      <c r="AH33" s="21"/>
      <c r="AO33" s="4">
        <v>29</v>
      </c>
      <c r="AP33" s="20"/>
      <c r="AQ33" s="15">
        <f>xFind2(AP33,'001'!$G$8:$H$150,1)</f>
        <v>0</v>
      </c>
      <c r="AR33" s="21"/>
      <c r="AY33" s="4">
        <v>29</v>
      </c>
      <c r="AZ33" s="20"/>
      <c r="BA33" s="15">
        <f>xFind2(AZ33,'001'!$G$8:$H$150,1)</f>
        <v>0</v>
      </c>
      <c r="BB33" s="21"/>
    </row>
    <row r="34" spans="4:54">
      <c r="D34" s="4">
        <v>30</v>
      </c>
      <c r="E34" s="21"/>
      <c r="F34" s="15" t="str">
        <f>_xlfn.IFNA(VLOOKUP(E34,'001'!$G$8:$H$117,2,FALSE),"")</f>
        <v/>
      </c>
      <c r="G34" s="21"/>
      <c r="K34" s="4">
        <v>30</v>
      </c>
      <c r="L34" s="14"/>
      <c r="M34" s="15">
        <f>xFind2(L34,'001'!$G$8:$H$150,1)</f>
        <v>0</v>
      </c>
      <c r="N34" s="21"/>
      <c r="U34" s="4">
        <v>30</v>
      </c>
      <c r="V34" s="14"/>
      <c r="W34" s="15">
        <f>xFind2(V34,'001'!$G$8:$H$150,1)</f>
        <v>0</v>
      </c>
      <c r="X34" s="21"/>
      <c r="AE34" s="4">
        <v>30</v>
      </c>
      <c r="AF34" s="21"/>
      <c r="AG34" s="15">
        <f>xFind2(AF34,'001'!$G$8:$H$150,1)</f>
        <v>0</v>
      </c>
      <c r="AH34" s="21"/>
      <c r="AO34" s="4">
        <v>30</v>
      </c>
      <c r="AP34" s="21"/>
      <c r="AQ34" s="15">
        <f>xFind2(AP34,'001'!$G$8:$H$150,1)</f>
        <v>0</v>
      </c>
      <c r="AR34" s="21"/>
      <c r="AY34" s="4">
        <v>30</v>
      </c>
      <c r="AZ34" s="21"/>
      <c r="BA34" s="15">
        <f>xFind2(AZ34,'001'!$G$8:$H$150,1)</f>
        <v>0</v>
      </c>
      <c r="BB34" s="21"/>
    </row>
  </sheetData>
  <sheetProtection selectLockedCells="1"/>
  <mergeCells count="6">
    <mergeCell ref="AY2:BA3"/>
    <mergeCell ref="D2:F3"/>
    <mergeCell ref="K2:M3"/>
    <mergeCell ref="U2:W3"/>
    <mergeCell ref="AE2:AG3"/>
    <mergeCell ref="AO2:AQ3"/>
  </mergeCells>
  <phoneticPr fontId="2" type="noConversion"/>
  <conditionalFormatting sqref="G5:G31">
    <cfRule type="cellIs" dxfId="21" priority="26" operator="equal">
      <formula>"Y"</formula>
    </cfRule>
  </conditionalFormatting>
  <conditionalFormatting sqref="G32:G34">
    <cfRule type="cellIs" dxfId="20" priority="25" operator="equal">
      <formula>"Y"</formula>
    </cfRule>
  </conditionalFormatting>
  <conditionalFormatting sqref="N5:N31">
    <cfRule type="cellIs" dxfId="19" priority="22" operator="equal">
      <formula>"Y"</formula>
    </cfRule>
  </conditionalFormatting>
  <conditionalFormatting sqref="N32:N34">
    <cfRule type="cellIs" dxfId="18" priority="21" operator="equal">
      <formula>"Y"</formula>
    </cfRule>
  </conditionalFormatting>
  <conditionalFormatting sqref="AH31">
    <cfRule type="cellIs" dxfId="17" priority="18" operator="equal">
      <formula>"Y"</formula>
    </cfRule>
  </conditionalFormatting>
  <conditionalFormatting sqref="AH32:AH34">
    <cfRule type="cellIs" dxfId="16" priority="17" operator="equal">
      <formula>"Y"</formula>
    </cfRule>
  </conditionalFormatting>
  <conditionalFormatting sqref="AR5:AR31">
    <cfRule type="cellIs" dxfId="15" priority="16" operator="equal">
      <formula>"Y"</formula>
    </cfRule>
  </conditionalFormatting>
  <conditionalFormatting sqref="AR32:AR34">
    <cfRule type="cellIs" dxfId="14" priority="15" operator="equal">
      <formula>"Y"</formula>
    </cfRule>
  </conditionalFormatting>
  <conditionalFormatting sqref="BB5:BB31">
    <cfRule type="cellIs" dxfId="13" priority="14" operator="equal">
      <formula>"Y"</formula>
    </cfRule>
  </conditionalFormatting>
  <conditionalFormatting sqref="BB32:BB34">
    <cfRule type="cellIs" dxfId="12" priority="13" operator="equal">
      <formula>"Y"</formula>
    </cfRule>
  </conditionalFormatting>
  <conditionalFormatting sqref="X5:X31">
    <cfRule type="cellIs" dxfId="11" priority="12" operator="equal">
      <formula>"Y"</formula>
    </cfRule>
  </conditionalFormatting>
  <conditionalFormatting sqref="X32:X34">
    <cfRule type="cellIs" dxfId="10" priority="11" operator="equal">
      <formula>"Y"</formula>
    </cfRule>
  </conditionalFormatting>
  <conditionalFormatting sqref="AH6 AH11:AH13 AH15:AH16 AH19:AH21">
    <cfRule type="cellIs" dxfId="9" priority="10" operator="equal">
      <formula>"Y"</formula>
    </cfRule>
  </conditionalFormatting>
  <conditionalFormatting sqref="AH5">
    <cfRule type="cellIs" dxfId="8" priority="9" operator="equal">
      <formula>"Y"</formula>
    </cfRule>
  </conditionalFormatting>
  <conditionalFormatting sqref="AH7">
    <cfRule type="cellIs" dxfId="7" priority="8" operator="equal">
      <formula>"Y"</formula>
    </cfRule>
  </conditionalFormatting>
  <conditionalFormatting sqref="AH8">
    <cfRule type="cellIs" dxfId="6" priority="7" operator="equal">
      <formula>"Y"</formula>
    </cfRule>
  </conditionalFormatting>
  <conditionalFormatting sqref="AH9">
    <cfRule type="cellIs" dxfId="5" priority="6" operator="equal">
      <formula>"Y"</formula>
    </cfRule>
  </conditionalFormatting>
  <conditionalFormatting sqref="AH10">
    <cfRule type="cellIs" dxfId="4" priority="5" operator="equal">
      <formula>"Y"</formula>
    </cfRule>
  </conditionalFormatting>
  <conditionalFormatting sqref="AH14">
    <cfRule type="cellIs" dxfId="3" priority="4" operator="equal">
      <formula>"Y"</formula>
    </cfRule>
  </conditionalFormatting>
  <conditionalFormatting sqref="AH17">
    <cfRule type="cellIs" dxfId="2" priority="3" operator="equal">
      <formula>"Y"</formula>
    </cfRule>
  </conditionalFormatting>
  <conditionalFormatting sqref="AH18">
    <cfRule type="cellIs" dxfId="1" priority="2" operator="equal">
      <formula>"Y"</formula>
    </cfRule>
  </conditionalFormatting>
  <conditionalFormatting sqref="AH22:AH30">
    <cfRule type="cellIs" dxfId="0" priority="1" operator="equal">
      <formula>"Y"</formula>
    </cfRule>
  </conditionalFormatting>
  <dataValidations count="2">
    <dataValidation type="list" allowBlank="1" showInputMessage="1" showErrorMessage="1" sqref="G5:G31 BB5:BB31 X5:X31 N5:N31 AR5:AR31 AH5:AH31">
      <formula1>"Y,N"</formula1>
    </dataValidation>
    <dataValidation type="list" allowBlank="1" showInputMessage="1" sqref="E5:E34 AZ5:AZ34 V5:V34 L5:L34 AP5:AP34 AF5:AF34">
      <formula1>TitleWord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"/>
  <sheetViews>
    <sheetView workbookViewId="0">
      <selection activeCell="B2" sqref="B2"/>
    </sheetView>
  </sheetViews>
  <sheetFormatPr defaultRowHeight="15.7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001</vt:lpstr>
      <vt:lpstr>002</vt:lpstr>
      <vt:lpstr>工作表2</vt:lpstr>
      <vt:lpstr>TitleWord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2021-04-11T07:07:25Z</dcterms:modified>
</cp:coreProperties>
</file>